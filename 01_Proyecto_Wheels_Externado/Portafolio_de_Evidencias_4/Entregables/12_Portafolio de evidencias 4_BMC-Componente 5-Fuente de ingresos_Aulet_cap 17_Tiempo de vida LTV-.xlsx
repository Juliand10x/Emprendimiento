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Resumen_y_Unit_Economics" sheetId="1" state="visible" r:id="rId1"/>
    <sheet xmlns:r="http://schemas.openxmlformats.org/officeDocument/2006/relationships" name="1_Modelo_LTV_3_Escenarios" sheetId="2" state="visible" r:id="rId2"/>
    <sheet xmlns:r="http://schemas.openxmlformats.org/officeDocument/2006/relationships" name="2_Calculo_CAC_Horizontes" sheetId="3" state="visible" r:id="rId3"/>
    <sheet xmlns:r="http://schemas.openxmlformats.org/officeDocument/2006/relationships" name="3_Regla_3X_LTV_vs_CAC" sheetId="4" state="visible" r:id="rId4"/>
    <sheet xmlns:r="http://schemas.openxmlformats.org/officeDocument/2006/relationships" name="Plantilla_LTV_Oficial_Aulet" sheetId="5" state="visible" r:id="rId5"/>
  </sheets>
  <definedNames/>
  <calcPr calcId="124519" fullCalcOnLoad="1"/>
</workbook>
</file>

<file path=xl/styles.xml><?xml version="1.0" encoding="utf-8"?>
<styleSheet xmlns="http://schemas.openxmlformats.org/spreadsheetml/2006/main">
  <numFmts count="5">
    <numFmt numFmtId="164" formatCode="$#,##0"/>
    <numFmt numFmtId="165" formatCode="0.0%"/>
    <numFmt numFmtId="166" formatCode="0.00&quot; x&quot;"/>
    <numFmt numFmtId="167" formatCode="0.0000"/>
    <numFmt numFmtId="168" formatCode="0.000%"/>
  </numFmts>
  <fonts count="10">
    <font>
      <name val="Calibri"/>
      <family val="2"/>
      <color theme="1"/>
      <sz val="11"/>
      <scheme val="minor"/>
    </font>
    <font>
      <name val="Calibri"/>
      <b val="1"/>
      <color rgb="00003366"/>
      <sz val="16"/>
    </font>
    <font>
      <name val="Calibri"/>
      <i val="1"/>
      <color rgb="00555555"/>
      <sz val="11"/>
    </font>
    <font>
      <name val="Calibri"/>
      <b val="1"/>
      <color rgb="00555555"/>
      <sz val="10"/>
    </font>
    <font>
      <name val="Calibri"/>
      <b val="1"/>
      <color rgb="00003366"/>
      <sz val="18"/>
    </font>
    <font>
      <name val="Calibri"/>
      <b val="1"/>
      <color rgb="00003366"/>
      <sz val="13"/>
    </font>
    <font>
      <name val="Calibri"/>
      <b val="1"/>
      <color rgb="00FFFFFF"/>
      <sz val="11"/>
    </font>
    <font>
      <name val="Calibri"/>
      <b val="1"/>
      <color rgb="001E293B"/>
      <sz val="11"/>
    </font>
    <font>
      <name val="Calibri"/>
      <color rgb="001E293B"/>
      <sz val="11"/>
    </font>
    <font>
      <name val="Calibri"/>
      <b val="1"/>
      <color rgb="0016A34A"/>
      <sz val="11"/>
    </font>
  </fonts>
  <fills count="9">
    <fill>
      <patternFill/>
    </fill>
    <fill>
      <patternFill patternType="gray125"/>
    </fill>
    <fill>
      <patternFill patternType="solid">
        <fgColor rgb="00EFF6FF"/>
        <bgColor rgb="00EFF6FF"/>
      </patternFill>
    </fill>
    <fill>
      <patternFill patternType="solid">
        <fgColor rgb="00003366"/>
        <bgColor rgb="00003366"/>
      </patternFill>
    </fill>
    <fill>
      <patternFill patternType="solid">
        <fgColor rgb="00DCFCE7"/>
        <bgColor rgb="00DCFCE7"/>
      </patternFill>
    </fill>
    <fill>
      <patternFill patternType="solid">
        <fgColor rgb="000072CE"/>
        <bgColor rgb="000072CE"/>
      </patternFill>
    </fill>
    <fill>
      <patternFill patternType="solid">
        <fgColor rgb="00FEF3C7"/>
        <bgColor rgb="00FEF3C7"/>
      </patternFill>
    </fill>
    <fill>
      <patternFill patternType="solid">
        <fgColor rgb="00E87722"/>
        <bgColor rgb="00E87722"/>
      </patternFill>
    </fill>
    <fill>
      <patternFill patternType="solid">
        <fgColor rgb="00F1F5F9"/>
        <bgColor rgb="00F1F5F9"/>
      </patternFill>
    </fill>
  </fills>
  <borders count="3">
    <border>
      <left/>
      <right/>
      <top/>
      <bottom/>
      <diagonal/>
    </border>
    <border>
      <left style="thin">
        <color rgb="00CBD5E1"/>
      </left>
      <right style="thin">
        <color rgb="00CBD5E1"/>
      </right>
      <top style="thin">
        <color rgb="00CBD5E1"/>
      </top>
      <bottom style="medium">
        <color rgb="00003366"/>
      </bottom>
    </border>
    <border>
      <left style="thin">
        <color rgb="00CBD5E1"/>
      </left>
      <right style="thin">
        <color rgb="00CBD5E1"/>
      </right>
      <top style="thin">
        <color rgb="00CBD5E1"/>
      </top>
      <bottom style="thin">
        <color rgb="00CBD5E1"/>
      </bottom>
    </border>
  </borders>
  <cellStyleXfs count="1">
    <xf numFmtId="0" fontId="0" fillId="0" borderId="0"/>
  </cellStyleXfs>
  <cellXfs count="5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2" fillId="2" borderId="0" applyAlignment="1" pivotButton="0" quotePrefix="0" xfId="0">
      <alignment horizontal="center" vertical="center"/>
    </xf>
    <xf numFmtId="0" fontId="5" fillId="0" borderId="0" pivotButton="0" quotePrefix="0" xfId="0"/>
    <xf numFmtId="0" fontId="6" fillId="3" borderId="1" applyAlignment="1" pivotButton="0" quotePrefix="0" xfId="0">
      <alignment horizontal="center" vertical="center"/>
    </xf>
    <xf numFmtId="0" fontId="7" fillId="0" borderId="2" pivotButton="0" quotePrefix="0" xfId="0"/>
    <xf numFmtId="164" fontId="7" fillId="0" borderId="2" applyAlignment="1" pivotButton="0" quotePrefix="0" xfId="0">
      <alignment horizontal="right"/>
    </xf>
    <xf numFmtId="165" fontId="7" fillId="0" borderId="2" applyAlignment="1" pivotButton="0" quotePrefix="0" xfId="0">
      <alignment horizontal="center"/>
    </xf>
    <xf numFmtId="0" fontId="8" fillId="0" borderId="2" pivotButton="0" quotePrefix="0" xfId="0"/>
    <xf numFmtId="164" fontId="8" fillId="0" borderId="2" applyAlignment="1" pivotButton="0" quotePrefix="0" xfId="0">
      <alignment horizontal="right"/>
    </xf>
    <xf numFmtId="165" fontId="8" fillId="0" borderId="2" applyAlignment="1" pivotButton="0" quotePrefix="0" xfId="0">
      <alignment horizontal="center"/>
    </xf>
    <xf numFmtId="0" fontId="7" fillId="4" borderId="2" pivotButton="0" quotePrefix="0" xfId="0"/>
    <xf numFmtId="164" fontId="7" fillId="4" borderId="2" applyAlignment="1" pivotButton="0" quotePrefix="0" xfId="0">
      <alignment horizontal="right"/>
    </xf>
    <xf numFmtId="165" fontId="7" fillId="4" borderId="2" applyAlignment="1" pivotButton="0" quotePrefix="0" xfId="0">
      <alignment horizontal="center"/>
    </xf>
    <xf numFmtId="0" fontId="8" fillId="4" borderId="2" pivotButton="0" quotePrefix="0" xfId="0"/>
    <xf numFmtId="0" fontId="6" fillId="5" borderId="1" applyAlignment="1" pivotButton="0" quotePrefix="0" xfId="0">
      <alignment horizontal="center" vertical="center"/>
    </xf>
    <xf numFmtId="3" fontId="8" fillId="0" borderId="2" applyAlignment="1" pivotButton="0" quotePrefix="0" xfId="0">
      <alignment horizontal="right"/>
    </xf>
    <xf numFmtId="0" fontId="8" fillId="0" borderId="2" applyAlignment="1" pivotButton="0" quotePrefix="0" xfId="0">
      <alignment horizontal="center"/>
    </xf>
    <xf numFmtId="3" fontId="7" fillId="0" borderId="2" applyAlignment="1" pivotButton="0" quotePrefix="0" xfId="0">
      <alignment horizontal="right"/>
    </xf>
    <xf numFmtId="0" fontId="7" fillId="6" borderId="2" pivotButton="0" quotePrefix="0" xfId="0"/>
    <xf numFmtId="164" fontId="7" fillId="6" borderId="2" applyAlignment="1" pivotButton="0" quotePrefix="0" xfId="0">
      <alignment horizontal="right"/>
    </xf>
    <xf numFmtId="0" fontId="8" fillId="6" borderId="2" applyAlignment="1" pivotButton="0" quotePrefix="0" xfId="0">
      <alignment horizontal="center"/>
    </xf>
    <xf numFmtId="0" fontId="8" fillId="6" borderId="2" pivotButton="0" quotePrefix="0" xfId="0"/>
    <xf numFmtId="166" fontId="7" fillId="0" borderId="2" applyAlignment="1" pivotButton="0" quotePrefix="0" xfId="0">
      <alignment horizontal="center"/>
    </xf>
    <xf numFmtId="0" fontId="9" fillId="4" borderId="2" applyAlignment="1" pivotButton="0" quotePrefix="0" xfId="0">
      <alignment horizontal="center"/>
    </xf>
    <xf numFmtId="0" fontId="6" fillId="6" borderId="1" applyAlignment="1" pivotButton="0" quotePrefix="0" xfId="0">
      <alignment horizontal="center" vertical="center"/>
    </xf>
    <xf numFmtId="3" fontId="8" fillId="6" borderId="2" applyAlignment="1" pivotButton="0" quotePrefix="0" xfId="0">
      <alignment horizontal="right"/>
    </xf>
    <xf numFmtId="3" fontId="7" fillId="6" borderId="2" applyAlignment="1" pivotButton="0" quotePrefix="0" xfId="0">
      <alignment horizontal="right"/>
    </xf>
    <xf numFmtId="164" fontId="8" fillId="6" borderId="2" applyAlignment="1" pivotButton="0" quotePrefix="0" xfId="0">
      <alignment horizontal="right"/>
    </xf>
    <xf numFmtId="165" fontId="8" fillId="6" borderId="2" applyAlignment="1" pivotButton="0" quotePrefix="0" xfId="0">
      <alignment horizontal="center"/>
    </xf>
    <xf numFmtId="0" fontId="7" fillId="0" borderId="2" applyAlignment="1" pivotButton="0" quotePrefix="0" xfId="0">
      <alignment horizontal="center"/>
    </xf>
    <xf numFmtId="167" fontId="8" fillId="0" borderId="2" applyAlignment="1" pivotButton="0" quotePrefix="0" xfId="0">
      <alignment horizontal="center"/>
    </xf>
    <xf numFmtId="0" fontId="6" fillId="3" borderId="2" applyAlignment="1" pivotButton="0" quotePrefix="0" xfId="0">
      <alignment horizontal="center"/>
    </xf>
    <xf numFmtId="0" fontId="0" fillId="3" borderId="2" pivotButton="0" quotePrefix="0" xfId="0"/>
    <xf numFmtId="164" fontId="6" fillId="7" borderId="2" applyAlignment="1" pivotButton="0" quotePrefix="0" xfId="0">
      <alignment horizontal="right"/>
    </xf>
    <xf numFmtId="0" fontId="6" fillId="3" borderId="2" pivotButton="0" quotePrefix="0" xfId="0"/>
    <xf numFmtId="164" fontId="7" fillId="8" borderId="2" applyAlignment="1" pivotButton="0" quotePrefix="0" xfId="0">
      <alignment horizontal="right"/>
    </xf>
    <xf numFmtId="164" fontId="6" fillId="3" borderId="2" applyAlignment="1" pivotButton="0" quotePrefix="0" xfId="0">
      <alignment horizontal="right"/>
    </xf>
    <xf numFmtId="0" fontId="6" fillId="7" borderId="2" pivotButton="0" quotePrefix="0" xfId="0"/>
    <xf numFmtId="166" fontId="7" fillId="6" borderId="2" applyAlignment="1" pivotButton="0" quotePrefix="0" xfId="0">
      <alignment horizontal="center"/>
    </xf>
    <xf numFmtId="164" fontId="7" fillId="0" borderId="2" pivotButton="0" quotePrefix="0" xfId="0"/>
    <xf numFmtId="166" fontId="7" fillId="6" borderId="2" pivotButton="0" quotePrefix="0" xfId="0"/>
    <xf numFmtId="0" fontId="8" fillId="8" borderId="0" applyAlignment="1" pivotButton="0" quotePrefix="0" xfId="0">
      <alignment vertical="top" wrapText="1"/>
    </xf>
    <xf numFmtId="0" fontId="6" fillId="3" borderId="0" pivotButton="0" quotePrefix="0" xfId="0"/>
    <xf numFmtId="164" fontId="0" fillId="0" borderId="0" pivotButton="0" quotePrefix="0" xfId="0"/>
    <xf numFmtId="168" fontId="0" fillId="0" borderId="0" pivotButton="0" quotePrefix="0" xfId="0"/>
    <xf numFmtId="165" fontId="0" fillId="0" borderId="0" pivotButton="0" quotePrefix="0" xfId="0"/>
    <xf numFmtId="0" fontId="7" fillId="0" borderId="0" pivotButton="0" quotePrefix="0" xfId="0"/>
    <xf numFmtId="0" fontId="2" fillId="0" borderId="0" applyAlignment="1" pivotButton="0" quotePrefix="0" xfId="0">
      <alignment horizontal="center"/>
    </xf>
    <xf numFmtId="0" fontId="6" fillId="3" borderId="0" applyAlignment="1" pivotButton="0" quotePrefix="0" xfId="0">
      <alignment horizontal="center"/>
    </xf>
    <xf numFmtId="167" fontId="0" fillId="0" borderId="0" pivotButton="0" quotePrefix="0" xfId="0"/>
    <xf numFmtId="164" fontId="6" fillId="7" borderId="0" pivotButton="0" quotePrefix="0" xfId="0"/>
    <xf numFmtId="0" fontId="7" fillId="0" borderId="0" applyAlignment="1" pivotButton="0" quotePrefix="0" xfId="0">
      <alignment horizontal="center"/>
    </xf>
    <xf numFmtId="164"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I30"/>
  <sheetViews>
    <sheetView showGridLines="1" workbookViewId="0">
      <selection activeCell="A1" sqref="A1"/>
    </sheetView>
  </sheetViews>
  <sheetFormatPr baseColWidth="8" defaultRowHeight="15"/>
  <cols>
    <col width="3" customWidth="1" min="1" max="1"/>
    <col width="38" customWidth="1" min="2" max="2"/>
    <col width="22" customWidth="1" min="3" max="3"/>
    <col width="18" customWidth="1" min="4" max="4"/>
    <col width="45" customWidth="1" min="5" max="5"/>
    <col width="18" customWidth="1" min="6" max="6"/>
    <col width="22" customWidth="1" min="7" max="7"/>
    <col width="45" customWidth="1" min="8" max="8"/>
  </cols>
  <sheetData>
    <row r="2">
      <c r="B2" s="1" t="inlineStr">
        <is>
          <t>WHEELS EXTERNADO — MODELO FINANCIERO Y UNIT ECONOMICS</t>
        </is>
      </c>
    </row>
    <row r="3">
      <c r="B3" s="2" t="inlineStr">
        <is>
          <t>Portafolio de Evidencias No. 4 | Curso de Emprendimiento | Universidad Externado de Colombia</t>
        </is>
      </c>
    </row>
    <row r="4">
      <c r="B4" s="2" t="inlineStr">
        <is>
          <t>Equipo 5: Julián Duarte, Julián Jiménez, Santiago Sandoval, Sebastián Ramos, Tomás Rincón</t>
        </is>
      </c>
    </row>
    <row r="6">
      <c r="B6" s="3" t="inlineStr">
        <is>
          <t>TARIFA POR VIAJE</t>
        </is>
      </c>
      <c r="D6" s="3" t="inlineStr">
        <is>
          <t>TAKE-RATE PLATAFORMA</t>
        </is>
      </c>
      <c r="F6" s="3" t="inlineStr">
        <is>
          <t>LTV ESPERADO (5 AÑOS)</t>
        </is>
      </c>
      <c r="H6" s="3" t="inlineStr">
        <is>
          <t>RAZÓN LTV / CAC</t>
        </is>
      </c>
    </row>
    <row r="7">
      <c r="B7" s="4" t="inlineStr">
        <is>
          <t>$8.000 COP</t>
        </is>
      </c>
      <c r="D7" s="4" t="inlineStr">
        <is>
          <t>$1.200 COP (15%)</t>
        </is>
      </c>
      <c r="F7" s="4" t="inlineStr">
        <is>
          <t>$174.897 COP</t>
        </is>
      </c>
      <c r="H7" s="4" t="inlineStr">
        <is>
          <t>29,15 x (Año 1)</t>
        </is>
      </c>
    </row>
    <row r="8">
      <c r="B8" s="5" t="inlineStr">
        <is>
          <t>Validada en Campo 2 (WTP)</t>
        </is>
      </c>
      <c r="D8" s="5" t="inlineStr">
        <is>
          <t>Margen neto: $1.000 COP</t>
        </is>
      </c>
      <c r="F8" s="5" t="inlineStr">
        <is>
          <t>Tasa r = 50% (Aulet)</t>
        </is>
      </c>
      <c r="H8" s="5" t="inlineStr">
        <is>
          <t>Supera regla 3X (Aulet 19)</t>
        </is>
      </c>
    </row>
    <row r="10">
      <c r="B10" s="6" t="inlineStr">
        <is>
          <t>1. DESGLOSE UNITARIO DE CADA VIAJE (UNIT ECONOMICS POR CUPO)</t>
        </is>
      </c>
    </row>
    <row r="11">
      <c r="B11" s="7" t="inlineStr">
        <is>
          <t>Concepto / Rubro</t>
        </is>
      </c>
      <c r="C11" s="7" t="inlineStr">
        <is>
          <t>Valor por Cupo (COP)</t>
        </is>
      </c>
      <c r="D11" s="7" t="inlineStr">
        <is>
          <t>% Tarifa</t>
        </is>
      </c>
      <c r="E11" s="7" t="inlineStr">
        <is>
          <t>Justificación y Sustentación con Evidencia</t>
        </is>
      </c>
    </row>
    <row r="12">
      <c r="B12" s="8" t="inlineStr">
        <is>
          <t>Tarifa Total Pagada por el Pasajero</t>
        </is>
      </c>
      <c r="C12" s="9" t="n">
        <v>8000</v>
      </c>
      <c r="D12" s="10" t="n">
        <v>1</v>
      </c>
      <c r="E12" s="11" t="inlineStr">
        <is>
          <t>Disposición a pagar media (WTP) validada en 12 entrevistas de Campo 2 (E1-E12). Ahorra $22k frente a taxi.</t>
        </is>
      </c>
    </row>
    <row r="13">
      <c r="B13" s="11" t="inlineStr">
        <is>
          <t>Compensación Neta al Conductor</t>
        </is>
      </c>
      <c r="C13" s="12" t="n">
        <v>6800</v>
      </c>
      <c r="D13" s="13" t="n">
        <v>0.85</v>
      </c>
      <c r="E13" s="11" t="inlineStr">
        <is>
          <t>Con 3-4 cupos/día amortiza $20.400-$27.200 COP cubriendo parqueadero ($22k) y combustible (E5, E7, E12).</t>
        </is>
      </c>
    </row>
    <row r="14">
      <c r="B14" s="11" t="inlineStr">
        <is>
          <t>Ingreso Bruto de la Plataforma (Take Rate)</t>
        </is>
      </c>
      <c r="C14" s="12" t="n">
        <v>1200</v>
      </c>
      <c r="D14" s="13" t="n">
        <v>0.15</v>
      </c>
      <c r="E14" s="11" t="inlineStr">
        <is>
          <t>Comisión competitiva de intermediación tecnológica (15% frente a 25%-30% cobrado por Uber/InDrive).</t>
        </is>
      </c>
    </row>
    <row r="15">
      <c r="B15" s="11" t="inlineStr">
        <is>
          <t>Costo Directo Transaccional (Pasarela API + Cloud)</t>
        </is>
      </c>
      <c r="C15" s="12" t="n">
        <v>200</v>
      </c>
      <c r="D15" s="13" t="n">
        <v>0.025</v>
      </c>
      <c r="E15" s="11" t="inlineStr">
        <is>
          <t>Costo por micropago digital con Nequi/Wompi API ($150) + cloud elástico por transacción ($50).</t>
        </is>
      </c>
    </row>
    <row r="16">
      <c r="B16" s="14" t="inlineStr">
        <is>
          <t>Margen Bruto de la Plataforma por Viaje</t>
        </is>
      </c>
      <c r="C16" s="15">
        <f>C14-C15</f>
        <v/>
      </c>
      <c r="D16" s="16">
        <f>(C14-C15)/C12</f>
        <v/>
      </c>
      <c r="E16" s="17" t="inlineStr">
        <is>
          <t>Margen neto de servicio por cupo completado disponible para cubrir costos fijos y marketing.</t>
        </is>
      </c>
    </row>
    <row r="18">
      <c r="B18" s="6" t="inlineStr">
        <is>
          <t>2. SUPUESTOS DE FRECUENCIA Y CÁLCULO DE INGRESOS ANUALES POR USUARIO</t>
        </is>
      </c>
    </row>
    <row r="19">
      <c r="B19" s="18" t="inlineStr">
        <is>
          <t>Parámetro</t>
        </is>
      </c>
      <c r="C19" s="18" t="inlineStr">
        <is>
          <t>Valor Base</t>
        </is>
      </c>
      <c r="D19" s="18" t="inlineStr">
        <is>
          <t>Unidad</t>
        </is>
      </c>
      <c r="E19" s="18" t="inlineStr">
        <is>
          <t>Sustentación / Justificación Académica</t>
        </is>
      </c>
    </row>
    <row r="20">
      <c r="B20" s="11" t="inlineStr">
        <is>
          <t>Frecuencia de Uso Semanal</t>
        </is>
      </c>
      <c r="C20" s="19" t="n">
        <v>4</v>
      </c>
      <c r="D20" s="20" t="inlineStr">
        <is>
          <t>viajes / semana</t>
        </is>
      </c>
      <c r="E20" s="11" t="inlineStr">
        <is>
          <t>2 días de asistencia presencial a clase (2 viajes de ida + 2 viajes de retorno).</t>
        </is>
      </c>
    </row>
    <row r="21">
      <c r="B21" s="11" t="inlineStr">
        <is>
          <t>Semanas de Clase al Año</t>
        </is>
      </c>
      <c r="C21" s="19" t="n">
        <v>32</v>
      </c>
      <c r="D21" s="20" t="inlineStr">
        <is>
          <t>semanas / año</t>
        </is>
      </c>
      <c r="E21" s="11" t="inlineStr">
        <is>
          <t>Calendario académico oficial de la Universidad Externado (16 semanas efectivas por semestre x 2).</t>
        </is>
      </c>
    </row>
    <row r="22">
      <c r="B22" s="8" t="inlineStr">
        <is>
          <t>Total Viajes Anuales por Estudiante</t>
        </is>
      </c>
      <c r="C22" s="21">
        <f>C20*C21</f>
        <v/>
      </c>
      <c r="D22" s="20" t="inlineStr">
        <is>
          <t>viajes / año</t>
        </is>
      </c>
      <c r="E22" s="11" t="inlineStr">
        <is>
          <t>Frecuencia semanal multiplicada por semanas del calendario institucional.</t>
        </is>
      </c>
    </row>
    <row r="23">
      <c r="B23" s="22" t="inlineStr">
        <is>
          <t>Ingreso Anual Bruto por Usuario (Plataforma)</t>
        </is>
      </c>
      <c r="C23" s="23">
        <f>C22*C14</f>
        <v/>
      </c>
      <c r="D23" s="24" t="inlineStr">
        <is>
          <t>COP / usuario / año</t>
        </is>
      </c>
      <c r="E23" s="25" t="inlineStr">
        <is>
          <t>Total viajes al año multiplicado por el Take-Rate de la plataforma ($1.200 COP).</t>
        </is>
      </c>
    </row>
    <row r="24">
      <c r="B24" s="22" t="inlineStr">
        <is>
          <t>Margen Bruto Anual por Usuario (Plataforma)</t>
        </is>
      </c>
      <c r="C24" s="23">
        <f>C22*C16</f>
        <v/>
      </c>
      <c r="D24" s="24" t="inlineStr">
        <is>
          <t>COP / usuario / año</t>
        </is>
      </c>
      <c r="E24" s="25" t="inlineStr">
        <is>
          <t>Total viajes al año multiplicado por el Margen Bruto unitario ($1.000 COP).</t>
        </is>
      </c>
    </row>
    <row r="26">
      <c r="B26" s="6" t="inlineStr">
        <is>
          <t>3. PRUEBA DE SOSTENIBILIDAD FINANCIERA: REGLA DE LAS 3X (LTV &gt; 3 x CAC)</t>
        </is>
      </c>
    </row>
    <row r="27">
      <c r="B27" s="7" t="inlineStr">
        <is>
          <t>Horizonte de Tiempo</t>
        </is>
      </c>
      <c r="C27" s="7" t="inlineStr">
        <is>
          <t>CAC Rango</t>
        </is>
      </c>
      <c r="D27" s="7" t="inlineStr">
        <is>
          <t>CAC Medio</t>
        </is>
      </c>
      <c r="E27" s="7" t="inlineStr">
        <is>
          <t>LTV Esperado (5 Años)</t>
        </is>
      </c>
      <c r="F27" s="7" t="inlineStr">
        <is>
          <t>Razón LTV / CAC</t>
        </is>
      </c>
      <c r="G27" s="7" t="inlineStr">
        <is>
          <t>¿Cumple Regla 3X?</t>
        </is>
      </c>
      <c r="H27" s="7" t="inlineStr">
        <is>
          <t>Diagnóstico Metodológico (Bill Aulet)</t>
        </is>
      </c>
    </row>
    <row r="28">
      <c r="B28" s="8" t="inlineStr">
        <is>
          <t>Corto Plazo (Año 1)</t>
        </is>
      </c>
      <c r="C28" s="20" t="inlineStr">
        <is>
          <t>$4.000 - $8.000</t>
        </is>
      </c>
      <c r="D28" s="9" t="n">
        <v>6000</v>
      </c>
      <c r="E28" s="9" t="n">
        <v>174897</v>
      </c>
      <c r="F28" s="26">
        <f>E28/D28</f>
        <v/>
      </c>
      <c r="G28" s="27" t="inlineStr">
        <is>
          <t>CUMPLE HOLGADAMENTE</t>
        </is>
      </c>
      <c r="H28" s="11" t="inlineStr">
        <is>
          <t>Adquisición de guerrilla en campus. Excede por 9,7x el mínimo requerido de 3X.</t>
        </is>
      </c>
    </row>
    <row r="29">
      <c r="B29" s="8" t="inlineStr">
        <is>
          <t>Mediano Plazo (Años 2-3)</t>
        </is>
      </c>
      <c r="C29" s="20" t="inlineStr">
        <is>
          <t>$2.500 - $4.500</t>
        </is>
      </c>
      <c r="D29" s="9" t="n">
        <v>3125</v>
      </c>
      <c r="E29" s="9" t="n">
        <v>174897</v>
      </c>
      <c r="F29" s="26">
        <f>E29/D29</f>
        <v/>
      </c>
      <c r="G29" s="27" t="inlineStr">
        <is>
          <t>ALTAMENTE ESCALABLE</t>
        </is>
      </c>
      <c r="H29" s="11" t="inlineStr">
        <is>
          <t>Embajadores por facultad y Bienestar Universitario reducen el CAC a la mitad.</t>
        </is>
      </c>
    </row>
    <row r="30">
      <c r="B30" s="8" t="inlineStr">
        <is>
          <t>Largo Plazo (Años 4-5)</t>
        </is>
      </c>
      <c r="C30" s="20" t="inlineStr">
        <is>
          <t>$1.200 - $2.200</t>
        </is>
      </c>
      <c r="D30" s="9" t="n">
        <v>1666</v>
      </c>
      <c r="E30" s="9" t="n">
        <v>174897</v>
      </c>
      <c r="F30" s="26">
        <f>E30/D30</f>
        <v/>
      </c>
      <c r="G30" s="27" t="inlineStr">
        <is>
          <t>SOSTENIBLE Y VIRAL</t>
        </is>
      </c>
      <c r="H30" s="11" t="inlineStr">
        <is>
          <t>Efecto de red orgánico y voz a voz institucional consolidado.</t>
        </is>
      </c>
    </row>
  </sheetData>
  <mergeCells count="12">
    <mergeCell ref="D8:E8"/>
    <mergeCell ref="D6:E6"/>
    <mergeCell ref="B6:C6"/>
    <mergeCell ref="D7:E7"/>
    <mergeCell ref="B7:C7"/>
    <mergeCell ref="H6:I6"/>
    <mergeCell ref="H7:I7"/>
    <mergeCell ref="F6:G6"/>
    <mergeCell ref="H8:I8"/>
    <mergeCell ref="B8:C8"/>
    <mergeCell ref="F7:G7"/>
    <mergeCell ref="F8:G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2"/>
  <sheetViews>
    <sheetView showGridLines="1" workbookViewId="0">
      <selection activeCell="A1" sqref="A1"/>
    </sheetView>
  </sheetViews>
  <sheetFormatPr baseColWidth="8" defaultRowHeight="15"/>
  <cols>
    <col width="3" customWidth="1" min="1" max="1"/>
    <col width="36" customWidth="1" min="2" max="2"/>
    <col width="24" customWidth="1" min="3" max="3"/>
    <col width="24" customWidth="1" min="4" max="4"/>
    <col width="24" customWidth="1" min="5" max="5"/>
    <col width="24" customWidth="1" min="6" max="6"/>
    <col width="24" customWidth="1" min="7" max="7"/>
    <col width="46" customWidth="1" min="8" max="8"/>
  </cols>
  <sheetData>
    <row r="2">
      <c r="B2" s="1" t="inlineStr">
        <is>
          <t>VALOR DE VIDA DEL CLIENTE (LTV) — MODELACIÓN A 5 AÑOS (AULET, PASO 17)</t>
        </is>
      </c>
    </row>
    <row r="3">
      <c r="B3" s="2" t="inlineStr">
        <is>
          <t>Comparación Rigurosa en Tres Escenarios (Pesimista, Esperado y Optimista) con Tasa de Descuento r = 50% anual</t>
        </is>
      </c>
    </row>
    <row r="5">
      <c r="B5" s="6" t="inlineStr">
        <is>
          <t>TABLA DE SUPUESTOS POR ESCENARIO</t>
        </is>
      </c>
    </row>
    <row r="6">
      <c r="B6" s="7" t="inlineStr">
        <is>
          <t>Parámetro Financiero</t>
        </is>
      </c>
      <c r="C6" s="7" t="inlineStr">
        <is>
          <t>Escenario Pesimista</t>
        </is>
      </c>
      <c r="D6" s="28" t="inlineStr">
        <is>
          <t>Escenario Esperado</t>
        </is>
      </c>
      <c r="E6" s="7" t="inlineStr">
        <is>
          <t>Escenario Optimista</t>
        </is>
      </c>
      <c r="F6" s="7" t="inlineStr">
        <is>
          <t>Fuente / Justificación Metodológica</t>
        </is>
      </c>
    </row>
    <row r="7">
      <c r="B7" s="11" t="inlineStr">
        <is>
          <t>Viajes promedio por semana</t>
        </is>
      </c>
      <c r="C7" s="19" t="n">
        <v>3</v>
      </c>
      <c r="D7" s="29" t="n">
        <v>4</v>
      </c>
      <c r="E7" s="19" t="n">
        <v>6</v>
      </c>
      <c r="F7" s="11" t="inlineStr">
        <is>
          <t>Campo 2: usuarios habituales (4-6 viajes) vs ocasionales (2-3 viajes).</t>
        </is>
      </c>
    </row>
    <row r="8">
      <c r="B8" s="11" t="inlineStr">
        <is>
          <t>Semanas de clase al año</t>
        </is>
      </c>
      <c r="C8" s="19" t="n">
        <v>28</v>
      </c>
      <c r="D8" s="29" t="n">
        <v>32</v>
      </c>
      <c r="E8" s="19" t="n">
        <v>34</v>
      </c>
      <c r="F8" s="11" t="inlineStr">
        <is>
          <t>Calendario oficial U. Externado (32 sem). Pesimista descuenta semanas de paro/festivos.</t>
        </is>
      </c>
    </row>
    <row r="9">
      <c r="B9" s="8" t="inlineStr">
        <is>
          <t>Viajes anuales por usuario</t>
        </is>
      </c>
      <c r="C9" s="21">
        <f>C7*C8</f>
        <v/>
      </c>
      <c r="D9" s="30">
        <f>D7*D8</f>
        <v/>
      </c>
      <c r="E9" s="21">
        <f>E7*E8</f>
        <v/>
      </c>
      <c r="F9" s="11" t="inlineStr">
        <is>
          <t>Cálculo de viajes por semana multiplicado por semanas de clase anuales.</t>
        </is>
      </c>
    </row>
    <row r="10">
      <c r="B10" s="11" t="inlineStr">
        <is>
          <t>Tarifa pagada por pasajero</t>
        </is>
      </c>
      <c r="C10" s="12" t="n">
        <v>8000</v>
      </c>
      <c r="D10" s="31" t="n">
        <v>8000</v>
      </c>
      <c r="E10" s="12" t="n">
        <v>8000</v>
      </c>
      <c r="F10" s="11" t="inlineStr">
        <is>
          <t>Tarifa validada en Campo 2 ($8.000 COP).</t>
        </is>
      </c>
    </row>
    <row r="11">
      <c r="B11" s="11" t="inlineStr">
        <is>
          <t>Take-Rate plataforma por viaje</t>
        </is>
      </c>
      <c r="C11" s="12" t="n">
        <v>1200</v>
      </c>
      <c r="D11" s="31" t="n">
        <v>1200</v>
      </c>
      <c r="E11" s="12" t="n">
        <v>1200</v>
      </c>
      <c r="F11" s="11" t="inlineStr">
        <is>
          <t>15% de comisión sobre la tarifa total pagada por el pasajero.</t>
        </is>
      </c>
    </row>
    <row r="12">
      <c r="B12" s="8" t="inlineStr">
        <is>
          <t>Ingreso Anual Bruto por Cliente</t>
        </is>
      </c>
      <c r="C12" s="9">
        <f>C9*C11</f>
        <v/>
      </c>
      <c r="D12" s="23">
        <f>D9*D11</f>
        <v/>
      </c>
      <c r="E12" s="9">
        <f>E9*E11</f>
        <v/>
      </c>
      <c r="F12" s="11" t="inlineStr">
        <is>
          <t>Viajes anuales multiplicados por Take-Rate de la plataforma.</t>
        </is>
      </c>
    </row>
    <row r="13">
      <c r="B13" s="11" t="inlineStr">
        <is>
          <t>Margen Bruto de Servicio (%)</t>
        </is>
      </c>
      <c r="C13" s="13" t="n">
        <v>0.75</v>
      </c>
      <c r="D13" s="32" t="n">
        <v>0.833333</v>
      </c>
      <c r="E13" s="13" t="n">
        <v>0.85</v>
      </c>
      <c r="F13" s="11" t="inlineStr">
        <is>
          <t>Pesimista asume costos mayores de pasarela; Optimista economías de escala en cloud.</t>
        </is>
      </c>
    </row>
    <row r="14">
      <c r="B14" s="8" t="inlineStr">
        <is>
          <t>Margen Bruto Anual por Cliente</t>
        </is>
      </c>
      <c r="C14" s="9">
        <f>C12*C13</f>
        <v/>
      </c>
      <c r="D14" s="23">
        <f>D12*D13</f>
        <v/>
      </c>
      <c r="E14" s="9">
        <f>E12*E13</f>
        <v/>
      </c>
      <c r="F14" s="11" t="inlineStr">
        <is>
          <t>Beneficio neto anual generado por cliente antes de descontar retención.</t>
        </is>
      </c>
    </row>
    <row r="15">
      <c r="B15" s="11" t="inlineStr">
        <is>
          <t>Tasa de Retención Anual (ret)</t>
        </is>
      </c>
      <c r="C15" s="13" t="n">
        <v>0.7</v>
      </c>
      <c r="D15" s="32" t="n">
        <v>0.8</v>
      </c>
      <c r="E15" s="13" t="n">
        <v>0.85</v>
      </c>
      <c r="F15" s="11" t="inlineStr">
        <is>
          <t>Cohortes cautivas de pregrado (4-5 años de carrera universitaria).</t>
        </is>
      </c>
    </row>
    <row r="16">
      <c r="B16" s="11" t="inlineStr">
        <is>
          <t>Tasa Costo de Capital (r)</t>
        </is>
      </c>
      <c r="C16" s="13" t="n">
        <v>0.5</v>
      </c>
      <c r="D16" s="32" t="n">
        <v>0.5</v>
      </c>
      <c r="E16" s="13" t="n">
        <v>0.5</v>
      </c>
      <c r="F16" s="11" t="inlineStr">
        <is>
          <t>Estándar Aulet para startups en etapa temprana financiadas con capital propio / bootstrapping.</t>
        </is>
      </c>
    </row>
    <row r="18">
      <c r="B18" s="6" t="inlineStr">
        <is>
          <t>FLUJOS DESCONTADOS AÑO A AÑO (AÑO 1 AL AÑO 5) — ESCENARIO ESPERADO (BASE)</t>
        </is>
      </c>
    </row>
    <row r="19">
      <c r="B19" s="18" t="inlineStr">
        <is>
          <t>Año de Operación</t>
        </is>
      </c>
      <c r="C19" s="18" t="inlineStr">
        <is>
          <t>Tasa Retención Acumulada</t>
        </is>
      </c>
      <c r="D19" s="18" t="inlineStr">
        <is>
          <t>Beneficio Anual Bruto</t>
        </is>
      </c>
      <c r="E19" s="18" t="inlineStr">
        <is>
          <t>Beneficio Neto Esperado</t>
        </is>
      </c>
      <c r="F19" s="18" t="inlineStr">
        <is>
          <t>Factor VAN 1/(1+r)^t</t>
        </is>
      </c>
      <c r="G19" s="18" t="inlineStr">
        <is>
          <t>Valor Presente (VP)</t>
        </is>
      </c>
      <c r="H19" s="18" t="inlineStr">
        <is>
          <t>Lectura y Estado de Cohorte</t>
        </is>
      </c>
    </row>
    <row r="20">
      <c r="B20" s="33" t="inlineStr">
        <is>
          <t>Año 1</t>
        </is>
      </c>
      <c r="C20" s="13" t="n">
        <v>1</v>
      </c>
      <c r="D20" s="12">
        <f>$D$14</f>
        <v/>
      </c>
      <c r="E20" s="12">
        <f>C20*D20</f>
        <v/>
      </c>
      <c r="F20" s="34">
        <f>(1/(1+$D$16))^1</f>
        <v/>
      </c>
      <c r="G20" s="9">
        <f>E20*F20</f>
        <v/>
      </c>
      <c r="H20" s="11" t="inlineStr">
        <is>
          <t>Cohorte 100% activa durante el primer año académico.</t>
        </is>
      </c>
    </row>
    <row r="21">
      <c r="B21" s="33" t="inlineStr">
        <is>
          <t>Año 2</t>
        </is>
      </c>
      <c r="C21" s="13">
        <f>$D$15^1</f>
        <v/>
      </c>
      <c r="D21" s="12">
        <f>$D$14</f>
        <v/>
      </c>
      <c r="E21" s="12">
        <f>C21*D21</f>
        <v/>
      </c>
      <c r="F21" s="34">
        <f>(1/(1+$D$16))^2</f>
        <v/>
      </c>
      <c r="G21" s="9">
        <f>E21*F21</f>
        <v/>
      </c>
      <c r="H21" s="11" t="inlineStr">
        <is>
          <t>80% de la cohorte continúa en 3.° y 4.° semestre.</t>
        </is>
      </c>
    </row>
    <row r="22">
      <c r="B22" s="33" t="inlineStr">
        <is>
          <t>Año 3</t>
        </is>
      </c>
      <c r="C22" s="13">
        <f>$D$15^2</f>
        <v/>
      </c>
      <c r="D22" s="12">
        <f>$D$14</f>
        <v/>
      </c>
      <c r="E22" s="12">
        <f>C22*D22</f>
        <v/>
      </c>
      <c r="F22" s="34">
        <f>(1/(1+$D$16))^3</f>
        <v/>
      </c>
      <c r="G22" s="9">
        <f>E22*F22</f>
        <v/>
      </c>
      <c r="H22" s="11" t="inlineStr">
        <is>
          <t>64% acumulado de la cohorte activa en 5.° y 6.° semestre.</t>
        </is>
      </c>
    </row>
    <row r="23">
      <c r="B23" s="33" t="inlineStr">
        <is>
          <t>Año 4</t>
        </is>
      </c>
      <c r="C23" s="13">
        <f>$D$15^3</f>
        <v/>
      </c>
      <c r="D23" s="12">
        <f>$D$14</f>
        <v/>
      </c>
      <c r="E23" s="12">
        <f>C23*D23</f>
        <v/>
      </c>
      <c r="F23" s="34">
        <f>(1/(1+$D$16))^4</f>
        <v/>
      </c>
      <c r="G23" s="9">
        <f>E23*F23</f>
        <v/>
      </c>
      <c r="H23" s="11" t="inlineStr">
        <is>
          <t>51,2% acumulado en 7.° y 8.° semestre.</t>
        </is>
      </c>
    </row>
    <row r="24">
      <c r="B24" s="33" t="inlineStr">
        <is>
          <t>Año 5</t>
        </is>
      </c>
      <c r="C24" s="13">
        <f>$D$15^4</f>
        <v/>
      </c>
      <c r="D24" s="12">
        <f>$D$14</f>
        <v/>
      </c>
      <c r="E24" s="12">
        <f>C24*D24</f>
        <v/>
      </c>
      <c r="F24" s="34">
        <f>(1/(1+$D$16))^5</f>
        <v/>
      </c>
      <c r="G24" s="9">
        <f>E24*F24</f>
        <v/>
      </c>
      <c r="H24" s="11" t="inlineStr">
        <is>
          <t>40,96% acumulado en año de grado y judicatura.</t>
        </is>
      </c>
    </row>
    <row r="25">
      <c r="B25" s="35" t="inlineStr">
        <is>
          <t>LTV TOTAL (AÑOS 1-5)</t>
        </is>
      </c>
      <c r="C25" s="36" t="inlineStr"/>
      <c r="D25" s="36" t="inlineStr"/>
      <c r="E25" s="36" t="inlineStr"/>
      <c r="F25" s="36" t="inlineStr"/>
      <c r="G25" s="37">
        <f>SUM(G20:G24)</f>
        <v/>
      </c>
      <c r="H25" s="38" t="inlineStr">
        <is>
          <t>VALOR DE VIDA DEL CLIENTE BASE (R = 50% ANUAL)</t>
        </is>
      </c>
    </row>
    <row r="27">
      <c r="B27" s="6" t="inlineStr">
        <is>
          <t>RESUMEN COMPARATIVO DE LTV EN LOS TRES ESCENARIOS</t>
        </is>
      </c>
    </row>
    <row r="28">
      <c r="B28" s="7" t="inlineStr">
        <is>
          <t>Escenario</t>
        </is>
      </c>
      <c r="C28" s="7" t="inlineStr">
        <is>
          <t>Ingreso Anual</t>
        </is>
      </c>
      <c r="D28" s="7" t="inlineStr">
        <is>
          <t>Margen Bruto</t>
        </is>
      </c>
      <c r="E28" s="7" t="inlineStr">
        <is>
          <t>Retención</t>
        </is>
      </c>
      <c r="F28" s="7" t="inlineStr">
        <is>
          <t>Costo Capital (r)</t>
        </is>
      </c>
      <c r="G28" s="7" t="inlineStr">
        <is>
          <t>LTV Resultante (5 Años)</t>
        </is>
      </c>
      <c r="H28" s="7" t="inlineStr">
        <is>
          <t>CAC Máximo Viable (LTV / 3)</t>
        </is>
      </c>
    </row>
    <row r="29">
      <c r="B29" s="8" t="inlineStr">
        <is>
          <t>Escenario Pesimista</t>
        </is>
      </c>
      <c r="C29" s="12">
        <f>C12</f>
        <v/>
      </c>
      <c r="D29" s="13">
        <f>C13</f>
        <v/>
      </c>
      <c r="E29" s="13">
        <f>C15</f>
        <v/>
      </c>
      <c r="F29" s="13">
        <f>C16</f>
        <v/>
      </c>
      <c r="G29" s="39">
        <f>C14*(1/(1+C16)^1 + C15/(1+C16)^2 + C15^2/(1+C16)^3 + C15^3/(1+C16)^4 + C15^4/(1+C16)^5)</f>
        <v/>
      </c>
      <c r="H29" s="9">
        <f>G29/3</f>
        <v/>
      </c>
    </row>
    <row r="30">
      <c r="B30" s="8" t="inlineStr">
        <is>
          <t>Escenario Esperado (Base)</t>
        </is>
      </c>
      <c r="C30" s="12">
        <f>D12</f>
        <v/>
      </c>
      <c r="D30" s="13">
        <f>D13</f>
        <v/>
      </c>
      <c r="E30" s="13">
        <f>D15</f>
        <v/>
      </c>
      <c r="F30" s="13">
        <f>D16</f>
        <v/>
      </c>
      <c r="G30" s="23">
        <f>G25</f>
        <v/>
      </c>
      <c r="H30" s="9">
        <f>G30/3</f>
        <v/>
      </c>
    </row>
    <row r="31">
      <c r="B31" s="8" t="inlineStr">
        <is>
          <t>Escenario Optimista</t>
        </is>
      </c>
      <c r="C31" s="12">
        <f>E12</f>
        <v/>
      </c>
      <c r="D31" s="13">
        <f>E13</f>
        <v/>
      </c>
      <c r="E31" s="13">
        <f>E15</f>
        <v/>
      </c>
      <c r="F31" s="13">
        <f>E16</f>
        <v/>
      </c>
      <c r="G31" s="39">
        <f>E14*(1/(1+E16)^1 + E15/(1+E16)^2 + E15^2/(1+E16)^3 + E15^3/(1+E16)^4 + E15^4/(1+E16)^5)</f>
        <v/>
      </c>
      <c r="H31" s="9">
        <f>G31/3</f>
        <v/>
      </c>
    </row>
    <row r="32">
      <c r="B32" s="8" t="inlineStr">
        <is>
          <t>Escenario Esperado con Deuda (r = 12%)</t>
        </is>
      </c>
      <c r="C32" s="12">
        <f>D12</f>
        <v/>
      </c>
      <c r="D32" s="13">
        <f>D13</f>
        <v/>
      </c>
      <c r="E32" s="13">
        <f>D15</f>
        <v/>
      </c>
      <c r="F32" s="13" t="n">
        <v>0.12</v>
      </c>
      <c r="G32" s="39">
        <f>D14*(1/(1+0.12)^1 + D15/(1+0.12)^2 + D15^2/(1+0.12)^3 + D15^3/(1+0.12)^4 + D15^4/(1+0.12)^5)</f>
        <v/>
      </c>
      <c r="H32" s="9">
        <f>G32/3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16"/>
  <sheetViews>
    <sheetView showGridLines="1" workbookViewId="0">
      <selection activeCell="A1" sqref="A1"/>
    </sheetView>
  </sheetViews>
  <sheetFormatPr baseColWidth="8" defaultRowHeight="15"/>
  <cols>
    <col width="3" customWidth="1" min="1" max="1"/>
    <col width="38" customWidth="1" min="2" max="2"/>
    <col width="22" customWidth="1" min="3" max="3"/>
    <col width="22" customWidth="1" min="4" max="4"/>
    <col width="22" customWidth="1" min="5" max="5"/>
    <col width="48" customWidth="1" min="6" max="6"/>
  </cols>
  <sheetData>
    <row r="2">
      <c r="B2" s="1" t="inlineStr">
        <is>
          <t>COSTO DE ADQUISICIÓN DE CLIENTES (CAC) — PASO 19 DE BILL AULET</t>
        </is>
      </c>
    </row>
    <row r="3">
      <c r="B3" s="2" t="inlineStr">
        <is>
          <t>Fórmula: CAC = Gastos de Marketing y Ventas (excl. retención) / Nuevos Clientes Adquiridos</t>
        </is>
      </c>
    </row>
    <row r="5">
      <c r="B5" s="6" t="inlineStr">
        <is>
          <t>DETALLE DE GASTOS COMERCIALES Y CÁLCULO DEL CAC POR HORIZONTE</t>
        </is>
      </c>
    </row>
    <row r="6">
      <c r="B6" s="7" t="inlineStr">
        <is>
          <t>Rubro Comercial / Canal de Venta</t>
        </is>
      </c>
      <c r="C6" s="7" t="inlineStr">
        <is>
          <t>Corto Plazo (Año 1)</t>
        </is>
      </c>
      <c r="D6" s="7" t="inlineStr">
        <is>
          <t>Mediano Plazo (Años 2-3)</t>
        </is>
      </c>
      <c r="E6" s="7" t="inlineStr">
        <is>
          <t>Largo Plazo (Años 4-5)</t>
        </is>
      </c>
      <c r="F6" s="7" t="inlineStr">
        <is>
          <t>Explicación de la Estrategia Comercial</t>
        </is>
      </c>
    </row>
    <row r="7">
      <c r="B7" s="11" t="inlineStr">
        <is>
          <t>Material POP, Volantes y Stickers QR en Campus</t>
        </is>
      </c>
      <c r="C7" s="12" t="n">
        <v>600000</v>
      </c>
      <c r="D7" s="12" t="n">
        <v>300000</v>
      </c>
      <c r="E7" s="12" t="n">
        <v>200000</v>
      </c>
      <c r="F7" s="11" t="inlineStr">
        <is>
          <t>Piezas gráficas físicas en plazoletas, torniquetes y cafeterías del Externado.</t>
        </is>
      </c>
    </row>
    <row r="8">
      <c r="B8" s="11" t="inlineStr">
        <is>
          <t>Tiempo Comercial de los 5 Fundadores (Venta Directa)</t>
        </is>
      </c>
      <c r="C8" s="12" t="n">
        <v>1200000</v>
      </c>
      <c r="D8" s="12" t="n">
        <v>400000</v>
      </c>
      <c r="E8" s="12" t="n">
        <v>0</v>
      </c>
      <c r="F8" s="11" t="inlineStr">
        <is>
          <t>Horas dedicadas a activación de estudiantes en campus y migración guiada de chats WhatsApp.</t>
        </is>
      </c>
    </row>
    <row r="9">
      <c r="B9" s="11" t="inlineStr">
        <is>
          <t>Programa de Embajadores por Facultad</t>
        </is>
      </c>
      <c r="C9" s="12" t="n">
        <v>0</v>
      </c>
      <c r="D9" s="12" t="n">
        <v>1200000</v>
      </c>
      <c r="E9" s="12" t="n">
        <v>600000</v>
      </c>
      <c r="F9" s="11" t="inlineStr">
        <is>
          <t>Estudiantes líderes remunerados en Derecho, Finanzas, etc., para activar salones.</t>
        </is>
      </c>
    </row>
    <row r="10">
      <c r="B10" s="11" t="inlineStr">
        <is>
          <t>Presencia en Inducciones de Bienestar Universitario</t>
        </is>
      </c>
      <c r="C10" s="12" t="n">
        <v>0</v>
      </c>
      <c r="D10" s="12" t="n">
        <v>600000</v>
      </c>
      <c r="E10" s="12" t="n">
        <v>200000</v>
      </c>
      <c r="F10" s="11" t="inlineStr">
        <is>
          <t>Materiales oficiales en jornadas de inducción de primer semestre.</t>
        </is>
      </c>
    </row>
    <row r="11">
      <c r="B11" s="11" t="inlineStr">
        <is>
          <t>Programa Digital de Referidos e Incentivos</t>
        </is>
      </c>
      <c r="C11" s="12" t="n">
        <v>0</v>
      </c>
      <c r="D11" s="12" t="n">
        <v>0</v>
      </c>
      <c r="E11" s="12" t="n">
        <v>1000000</v>
      </c>
      <c r="F11" s="11" t="inlineStr">
        <is>
          <t>Bonificaciones en viajes ("Invita a un compañero y ambos obtienen descuento").</t>
        </is>
      </c>
    </row>
    <row r="12">
      <c r="B12" s="38" t="inlineStr">
        <is>
          <t>TOTAL GASTOS DE MARKETING Y VENTAS (COP)</t>
        </is>
      </c>
      <c r="C12" s="40">
        <f>SUM(C7:C11)</f>
        <v/>
      </c>
      <c r="D12" s="40">
        <f>SUM(D7:D11)</f>
        <v/>
      </c>
      <c r="E12" s="40">
        <f>SUM(E7:E11)</f>
        <v/>
      </c>
      <c r="F12" s="38" t="inlineStr">
        <is>
          <t>Suma total de inversiones comerciales del período.</t>
        </is>
      </c>
    </row>
    <row r="14">
      <c r="B14" s="8" t="inlineStr">
        <is>
          <t>NUEVOS CLIENTES ACTIVOS ADQUIRIDOS</t>
        </is>
      </c>
      <c r="C14" s="21" t="n">
        <v>300</v>
      </c>
      <c r="D14" s="21" t="n">
        <v>800</v>
      </c>
      <c r="E14" s="21" t="n">
        <v>1200</v>
      </c>
      <c r="F14" s="11" t="inlineStr">
        <is>
          <t>Alumnos convertidos en usuarios recurrentes de la plataforma en el período.</t>
        </is>
      </c>
    </row>
    <row r="15">
      <c r="B15" s="41" t="inlineStr">
        <is>
          <t>CAC MEDIO CALCULADO (COP / CLIENTE)</t>
        </is>
      </c>
      <c r="C15" s="37">
        <f>C12/C14</f>
        <v/>
      </c>
      <c r="D15" s="37">
        <f>D12/D14</f>
        <v/>
      </c>
      <c r="E15" s="37">
        <f>E12/E14</f>
        <v/>
      </c>
      <c r="F15" s="41" t="inlineStr">
        <is>
          <t>Costo medio de adquisición por estudiante. Notar la tendencia descendente (escalabilidad).</t>
        </is>
      </c>
    </row>
    <row r="16">
      <c r="B16" s="8" t="inlineStr">
        <is>
          <t>CAC Expresado como Rango (Aulet, Paso 19)</t>
        </is>
      </c>
      <c r="C16" s="33" t="inlineStr">
        <is>
          <t>$4.000 - $8.000 COP</t>
        </is>
      </c>
      <c r="D16" s="33" t="inlineStr">
        <is>
          <t>$2.500 - $4.500 COP</t>
        </is>
      </c>
      <c r="E16" s="33" t="inlineStr">
        <is>
          <t>$1.200 - $2.200 COP</t>
        </is>
      </c>
      <c r="F16" s="11" t="inlineStr">
        <is>
          <t>Aulet exige presentar el CAC como rango para reflejar incertidumbre comercial.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16"/>
  <sheetViews>
    <sheetView showGridLines="1" workbookViewId="0">
      <selection activeCell="A1" sqref="A1"/>
    </sheetView>
  </sheetViews>
  <sheetFormatPr baseColWidth="8" defaultRowHeight="15"/>
  <cols>
    <col width="3" customWidth="1" min="1" max="1"/>
    <col width="32" customWidth="1" min="2" max="2"/>
    <col width="18" customWidth="1" min="3" max="3"/>
    <col width="22" customWidth="1" min="4" max="4"/>
    <col width="20" customWidth="1" min="5" max="5"/>
    <col width="22" customWidth="1" min="6" max="6"/>
    <col width="22" customWidth="1" min="7" max="7"/>
    <col width="46" customWidth="1" min="8" max="8"/>
  </cols>
  <sheetData>
    <row r="2">
      <c r="B2" s="1" t="inlineStr">
        <is>
          <t>COMPARACIÓN LTV vs CAC — VERIFICACIÓN DE LA REGLA DE LAS 3X</t>
        </is>
      </c>
    </row>
    <row r="3">
      <c r="B3" s="2" t="inlineStr">
        <is>
          <t>Criterio de Sostenibilidad de Bill Aulet: LTV debe ser al menos 3 veces el CAC (LTV &gt; 3 x CAC)</t>
        </is>
      </c>
    </row>
    <row r="5">
      <c r="B5" s="7" t="inlineStr">
        <is>
          <t>Horizonte Temporal</t>
        </is>
      </c>
      <c r="C5" s="7" t="inlineStr">
        <is>
          <t>CAC Medio</t>
        </is>
      </c>
      <c r="D5" s="7" t="inlineStr">
        <is>
          <t>LTV Esperado Base</t>
        </is>
      </c>
      <c r="E5" s="7" t="inlineStr">
        <is>
          <t>Razón LTV / CAC</t>
        </is>
      </c>
      <c r="F5" s="7" t="inlineStr">
        <is>
          <t>Umbral Mínimo Aulet</t>
        </is>
      </c>
      <c r="G5" s="7" t="inlineStr">
        <is>
          <t>Evaluación</t>
        </is>
      </c>
      <c r="H5" s="7" t="inlineStr">
        <is>
          <t>Conclusión y Acción Estratégica</t>
        </is>
      </c>
    </row>
    <row r="6">
      <c r="B6" s="8" t="inlineStr">
        <is>
          <t>Corto Plazo (Año 1)</t>
        </is>
      </c>
      <c r="C6" s="9">
        <f>'2_Calculo_CAC_Horizontes'!C15</f>
        <v/>
      </c>
      <c r="D6" s="9">
        <f>'1_Modelo_LTV_3_Escenarios'!G25</f>
        <v/>
      </c>
      <c r="E6" s="42">
        <f>D6/C6</f>
        <v/>
      </c>
      <c r="F6" s="20" t="inlineStr">
        <is>
          <t>3,00 x</t>
        </is>
      </c>
      <c r="G6" s="27" t="inlineStr">
        <is>
          <t>SUPERADO (29,15x)</t>
        </is>
      </c>
      <c r="H6" s="11" t="inlineStr">
        <is>
          <t>Margen extraordinario desde el inicio debido a la comunidad cautiva.</t>
        </is>
      </c>
    </row>
    <row r="7">
      <c r="B7" s="8" t="inlineStr">
        <is>
          <t>Mediano Plazo (Años 2-3)</t>
        </is>
      </c>
      <c r="C7" s="9">
        <f>'2_Calculo_CAC_Horizontes'!D15</f>
        <v/>
      </c>
      <c r="D7" s="9">
        <f>'1_Modelo_LTV_3_Escenarios'!G25</f>
        <v/>
      </c>
      <c r="E7" s="42">
        <f>D7/C7</f>
        <v/>
      </c>
      <c r="F7" s="20" t="inlineStr">
        <is>
          <t>3,00 x</t>
        </is>
      </c>
      <c r="G7" s="27" t="inlineStr">
        <is>
          <t>SUPERADO (55,97x)</t>
        </is>
      </c>
      <c r="H7" s="11" t="inlineStr">
        <is>
          <t>Economías de escala y apoyo de Bienestar Universitario.</t>
        </is>
      </c>
    </row>
    <row r="8">
      <c r="B8" s="8" t="inlineStr">
        <is>
          <t>Largo Plazo (Años 4-5)</t>
        </is>
      </c>
      <c r="C8" s="9">
        <f>'2_Calculo_CAC_Horizontes'!E15</f>
        <v/>
      </c>
      <c r="D8" s="9">
        <f>'1_Modelo_LTV_3_Escenarios'!G25</f>
        <v/>
      </c>
      <c r="E8" s="42">
        <f>D8/C8</f>
        <v/>
      </c>
      <c r="F8" s="20" t="inlineStr">
        <is>
          <t>3,00 x</t>
        </is>
      </c>
      <c r="G8" s="27" t="inlineStr">
        <is>
          <t>SUPERADO (104,98x)</t>
        </is>
      </c>
      <c r="H8" s="11" t="inlineStr">
        <is>
          <t>Efecto de red consolida adopción casi a costo marginal cero.</t>
        </is>
      </c>
    </row>
    <row r="10">
      <c r="B10" s="6" t="inlineStr">
        <is>
          <t>PRUEBA DE ESTRÉS: PEOR ESCENARIO PESIMISTA</t>
        </is>
      </c>
    </row>
    <row r="11">
      <c r="B11" s="8" t="inlineStr">
        <is>
          <t>LTV Pesimista ($92.408 COP) vs CAC Más Alto ($8.000 COP)</t>
        </is>
      </c>
      <c r="C11" s="43" t="n">
        <v>8000</v>
      </c>
      <c r="D11" s="43">
        <f>'1_Modelo_LTV_3_Escenarios'!G29</f>
        <v/>
      </c>
      <c r="E11" s="44">
        <f>D11/C11</f>
        <v/>
      </c>
      <c r="F11" s="20" t="inlineStr">
        <is>
          <t>3,00 x</t>
        </is>
      </c>
      <c r="G11" s="27" t="inlineStr">
        <is>
          <t>CUMPLE (11,55x)</t>
        </is>
      </c>
      <c r="H11" s="11" t="inlineStr">
        <is>
          <t>Incluso bajo el escenario más adverso de retención y viajes, el modelo supera casi por 4x el umbral.</t>
        </is>
      </c>
    </row>
    <row r="13">
      <c r="B13" s="6" t="inlineStr">
        <is>
          <t>CONCLUSIÓN FINANCIERA FORMAL DEL ÍTEM 9.1 (AULET, PASO 19)</t>
        </is>
      </c>
    </row>
    <row r="14">
      <c r="B14" s="45" t="inlineStr">
        <is>
          <t>La razón LTV / CAC de Wheels Externado en el escenario esperado alcanza 29,15x en el corto plazo y supera los 100x en el largo plazo, cumpliendo de manera extraordinaria con la regla de las 3X fijada por Bill Aulet (LTV &gt; 3 x CAC). Incluso bajo el escenario pesimista más riguroso (LTV de $92.408 COP) frente al CAC más elevado ($8.000 COP), la razón se mantiene en 11,55x, casi cuatro veces por encima del umbral mínimo de viabilidad. Este excepcional rendimiento unitario se fundamenta en que el negocio opera sobre un mercado resegmentado de comunidad cerrada: no incurre en costosos presupuestos de pauta digital abierta, sino que capitaliza la densidad geográfica del campus, las redes de confianza preexistentes y la alta recurrencia de los universitarios.</t>
        </is>
      </c>
    </row>
    <row r="15"/>
    <row r="16"/>
  </sheetData>
  <mergeCells count="1">
    <mergeCell ref="B14:H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2"/>
  <sheetViews>
    <sheetView showGridLines="1" workbookViewId="0">
      <selection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6" customWidth="1" min="7" max="7"/>
  </cols>
  <sheetData>
    <row r="1">
      <c r="A1" s="46" t="inlineStr">
        <is>
          <t>Supuestos</t>
        </is>
      </c>
      <c r="B1" s="46" t="inlineStr">
        <is>
          <t>Entradas</t>
        </is>
      </c>
      <c r="D1" s="46" t="inlineStr">
        <is>
          <t>Notas</t>
        </is>
      </c>
    </row>
    <row r="2">
      <c r="A2" t="inlineStr">
        <is>
          <t>Venta por única vez</t>
        </is>
      </c>
    </row>
    <row r="3">
      <c r="A3" t="inlineStr">
        <is>
          <t>Venta inicial promedio</t>
        </is>
      </c>
      <c r="B3" t="n">
        <v>0</v>
      </c>
      <c r="D3" t="inlineStr">
        <is>
          <t>Este modelo supone que la compra inicial se realiza al comienzo del año 0. (En Wheels es cobro por uso = $0).</t>
        </is>
      </c>
    </row>
    <row r="4">
      <c r="A4" t="inlineStr">
        <is>
          <t>Margen bruto - Venta inicial</t>
        </is>
      </c>
      <c r="B4" t="n">
        <v>0</v>
      </c>
      <c r="D4" t="inlineStr">
        <is>
          <t>Si no hay compra inicial, introduzca 0 $ para el valor medio de la venta inicial.</t>
        </is>
      </c>
    </row>
    <row r="5">
      <c r="A5" t="inlineStr">
        <is>
          <t>Tasa de compra del siguiente producto</t>
        </is>
      </c>
      <c r="B5" t="n">
        <v>0</v>
      </c>
    </row>
    <row r="6">
      <c r="A6" t="inlineStr">
        <is>
          <t>Año de compra del próximo producto</t>
        </is>
      </c>
      <c r="B6" t="n">
        <v>0</v>
      </c>
    </row>
    <row r="8">
      <c r="A8" t="inlineStr">
        <is>
          <t>Compras periódicas</t>
        </is>
      </c>
      <c r="D8" t="inlineStr">
        <is>
          <t>El cliente compra una o más veces al año (128 viajes x $1.200 Take-rate).</t>
        </is>
      </c>
    </row>
    <row r="9">
      <c r="A9" t="inlineStr">
        <is>
          <t>Ingresos anuales</t>
        </is>
      </c>
      <c r="B9" s="47">
        <f>'0_Resumen_y_Unit_Economics'!C23</f>
        <v/>
      </c>
      <c r="D9" t="inlineStr">
        <is>
          <t>Ingreso anual bruto de la plataforma por usuario activo (128 viajes x $1.200 COP).</t>
        </is>
      </c>
    </row>
    <row r="10">
      <c r="A10" t="inlineStr">
        <is>
          <t>Margen bruto - Ingresos anuales</t>
        </is>
      </c>
      <c r="B10" s="48">
        <f>'0_Resumen_y_Unit_Economics'!D16</f>
        <v/>
      </c>
      <c r="D10" t="inlineStr">
        <is>
          <t>Margen bruto de servicio ($1.000 netos / $1.200 brutos = 83,33%).</t>
        </is>
      </c>
    </row>
    <row r="11">
      <c r="A11" t="inlineStr">
        <is>
          <t>Tasa de retención</t>
        </is>
      </c>
      <c r="B11" s="49" t="n">
        <v>0.8</v>
      </c>
      <c r="D11" t="inlineStr">
        <is>
          <t>Retención interanual estimada de cohortes universitarias en el Externado.</t>
        </is>
      </c>
    </row>
    <row r="13">
      <c r="A13" t="inlineStr">
        <is>
          <t>Ingresos recurrentes</t>
        </is>
      </c>
    </row>
    <row r="14">
      <c r="A14" t="inlineStr">
        <is>
          <t>Ingresos recurrentes promedio</t>
        </is>
      </c>
      <c r="B14" t="n">
        <v>0</v>
      </c>
    </row>
    <row r="15">
      <c r="A15" t="inlineStr">
        <is>
          <t>Margen bruto - Ingresos recurrentes</t>
        </is>
      </c>
      <c r="B15" t="n">
        <v>0</v>
      </c>
    </row>
    <row r="16">
      <c r="A16" t="inlineStr">
        <is>
          <t># meses de recurrencia en el Año 1</t>
        </is>
      </c>
      <c r="B16" t="n">
        <v>0</v>
      </c>
    </row>
    <row r="17">
      <c r="A17" t="inlineStr">
        <is>
          <t>meses de recurrencia en los años 2-5</t>
        </is>
      </c>
      <c r="B17" t="n">
        <v>0</v>
      </c>
    </row>
    <row r="18">
      <c r="A18" t="inlineStr">
        <is>
          <t>Tasa de retención</t>
        </is>
      </c>
      <c r="B18" t="n">
        <v>0</v>
      </c>
    </row>
    <row r="20">
      <c r="A20" t="inlineStr">
        <is>
          <t>Ventas adicionales</t>
        </is>
      </c>
    </row>
    <row r="21">
      <c r="A21" t="inlineStr">
        <is>
          <t>Ventas anuales de complementos - Inicio del año 1</t>
        </is>
      </c>
      <c r="B21" t="n">
        <v>0</v>
      </c>
    </row>
    <row r="22">
      <c r="A22" t="inlineStr">
        <is>
          <t>Margen bruto - Ventas adicionales</t>
        </is>
      </c>
      <c r="B22" t="n">
        <v>0</v>
      </c>
    </row>
    <row r="23">
      <c r="A23" t="inlineStr">
        <is>
          <t>Tasa de retención</t>
        </is>
      </c>
      <c r="B23" t="n">
        <v>0</v>
      </c>
    </row>
    <row r="25">
      <c r="A25" t="inlineStr">
        <is>
          <t>Costo de capital</t>
        </is>
      </c>
    </row>
    <row r="26">
      <c r="A26" t="inlineStr">
        <is>
          <t>Costo de capital</t>
        </is>
      </c>
      <c r="B26" s="49" t="n">
        <v>0.5</v>
      </c>
      <c r="D26" t="inlineStr">
        <is>
          <t>Supongamos un 50% si se financia con capital propio / bootstrapping (Estándar Aulet).</t>
        </is>
      </c>
    </row>
    <row r="28">
      <c r="A28" s="50" t="inlineStr">
        <is>
          <t>Cálculo del LTV</t>
        </is>
      </c>
      <c r="B28" t="inlineStr">
        <is>
          <t>Día</t>
        </is>
      </c>
      <c r="C28" s="51" t="inlineStr">
        <is>
          <t>Año</t>
        </is>
      </c>
      <c r="D28" s="51" t="inlineStr">
        <is>
          <t>Año</t>
        </is>
      </c>
      <c r="E28" s="51" t="inlineStr">
        <is>
          <t>Año</t>
        </is>
      </c>
      <c r="F28" s="51" t="inlineStr">
        <is>
          <t>Año</t>
        </is>
      </c>
      <c r="G28" s="51" t="inlineStr">
        <is>
          <t>Año</t>
        </is>
      </c>
    </row>
    <row r="29">
      <c r="B29" s="52" t="n">
        <v>0</v>
      </c>
      <c r="C29" s="52" t="n">
        <v>1</v>
      </c>
      <c r="D29" s="52" t="n">
        <v>2</v>
      </c>
      <c r="E29" s="52" t="n">
        <v>3</v>
      </c>
      <c r="F29" s="52" t="n">
        <v>4</v>
      </c>
      <c r="G29" s="52" t="n">
        <v>5</v>
      </c>
    </row>
    <row r="35">
      <c r="A35" t="inlineStr">
        <is>
          <t>Compras periódicas - Ingresos anuales</t>
        </is>
      </c>
      <c r="B35" t="n">
        <v>0</v>
      </c>
      <c r="C35" s="47">
        <f>$B$9</f>
        <v/>
      </c>
      <c r="D35" s="47">
        <f>$B$9</f>
        <v/>
      </c>
      <c r="E35" s="47">
        <f>$B$9</f>
        <v/>
      </c>
      <c r="F35" s="47">
        <f>$B$9</f>
        <v/>
      </c>
      <c r="G35" s="47">
        <f>$B$9</f>
        <v/>
      </c>
    </row>
    <row r="36">
      <c r="A36" t="inlineStr">
        <is>
          <t>Tasa de retención</t>
        </is>
      </c>
      <c r="C36" s="49">
        <f>$B$11</f>
        <v/>
      </c>
      <c r="D36" s="49">
        <f>C36</f>
        <v/>
      </c>
      <c r="E36" s="49">
        <f>D36</f>
        <v/>
      </c>
      <c r="F36" s="49">
        <f>E36</f>
        <v/>
      </c>
      <c r="G36" s="49">
        <f>F36</f>
        <v/>
      </c>
    </row>
    <row r="37">
      <c r="A37" t="inlineStr">
        <is>
          <t>Tasa de retención acumulada</t>
        </is>
      </c>
      <c r="C37" s="49">
        <f>C36</f>
        <v/>
      </c>
      <c r="D37" s="49">
        <f>C37*D36</f>
        <v/>
      </c>
      <c r="E37" s="49">
        <f>D37*E36</f>
        <v/>
      </c>
      <c r="F37" s="49">
        <f>E37*F36</f>
        <v/>
      </c>
      <c r="G37" s="49">
        <f>F37*G36</f>
        <v/>
      </c>
    </row>
    <row r="38">
      <c r="A38" t="inlineStr">
        <is>
          <t>Margen bruto para ingresos anuales</t>
        </is>
      </c>
      <c r="C38" s="49">
        <f>$B$10</f>
        <v/>
      </c>
      <c r="D38" s="49">
        <f>$B$10</f>
        <v/>
      </c>
      <c r="E38" s="49">
        <f>$B$10</f>
        <v/>
      </c>
      <c r="F38" s="49">
        <f>$B$10</f>
        <v/>
      </c>
      <c r="G38" s="49">
        <f>$B$10</f>
        <v/>
      </c>
    </row>
    <row r="39">
      <c r="A39" t="inlineStr">
        <is>
          <t>Beneficios derivados de los ingresos anuales</t>
        </is>
      </c>
      <c r="B39" t="n">
        <v>0</v>
      </c>
      <c r="C39" s="47">
        <f>C35*C37*C38</f>
        <v/>
      </c>
      <c r="D39" s="47">
        <f>D35*D37*D38</f>
        <v/>
      </c>
      <c r="E39" s="47">
        <f>E35*E37*E38</f>
        <v/>
      </c>
      <c r="F39" s="47">
        <f>F35*F37*F38</f>
        <v/>
      </c>
      <c r="G39" s="47">
        <f>G35*G37*G38</f>
        <v/>
      </c>
    </row>
    <row r="53">
      <c r="A53" t="inlineStr">
        <is>
          <t>Beneficios totales</t>
        </is>
      </c>
      <c r="B53">
        <f>B39</f>
        <v/>
      </c>
      <c r="C53" s="47">
        <f>C39</f>
        <v/>
      </c>
      <c r="D53" s="47">
        <f>D39</f>
        <v/>
      </c>
      <c r="E53" s="47">
        <f>E39</f>
        <v/>
      </c>
      <c r="F53" s="47">
        <f>F39</f>
        <v/>
      </c>
      <c r="G53" s="47">
        <f>G39</f>
        <v/>
      </c>
    </row>
    <row r="55">
      <c r="A55" t="inlineStr">
        <is>
          <t>Tasa de costo de capital</t>
        </is>
      </c>
      <c r="B55" s="49">
        <f>$B$26</f>
        <v/>
      </c>
      <c r="C55" s="49">
        <f>$B$26</f>
        <v/>
      </c>
      <c r="D55" s="49">
        <f>$B$26</f>
        <v/>
      </c>
      <c r="E55" s="49">
        <f>$B$26</f>
        <v/>
      </c>
      <c r="F55" s="49">
        <f>$B$26</f>
        <v/>
      </c>
      <c r="G55" s="49">
        <f>$B$26</f>
        <v/>
      </c>
    </row>
    <row r="56">
      <c r="A56" t="inlineStr">
        <is>
          <t>Factor de valor actual neto</t>
        </is>
      </c>
      <c r="B56" s="53">
        <f>(1/(1+$B$26))^B29</f>
        <v/>
      </c>
      <c r="C56" s="53">
        <f>(1/(1+$B$26))^C29</f>
        <v/>
      </c>
      <c r="D56" s="53">
        <f>(1/(1+$B$26))^D29</f>
        <v/>
      </c>
      <c r="E56" s="53">
        <f>(1/(1+$B$26))^E29</f>
        <v/>
      </c>
      <c r="F56" s="53">
        <f>(1/(1+$B$26))^F29</f>
        <v/>
      </c>
      <c r="G56" s="53">
        <f>(1/(1+$B$26))^G29</f>
        <v/>
      </c>
    </row>
    <row r="57">
      <c r="A57" t="inlineStr">
        <is>
          <t>Valor actual de las ganancias</t>
        </is>
      </c>
      <c r="B57">
        <f>B53*B56</f>
        <v/>
      </c>
      <c r="C57" s="47">
        <f>C53*C56</f>
        <v/>
      </c>
      <c r="D57" s="47">
        <f>D53*D56</f>
        <v/>
      </c>
      <c r="E57" s="47">
        <f>E53*E56</f>
        <v/>
      </c>
      <c r="F57" s="47">
        <f>F53*F56</f>
        <v/>
      </c>
      <c r="G57" s="47">
        <f>G53*G56</f>
        <v/>
      </c>
    </row>
    <row r="58">
      <c r="A58" s="46" t="inlineStr">
        <is>
          <t>LTV / Valor Actual Neto de las Ganancias</t>
        </is>
      </c>
      <c r="B58" s="54">
        <f>SUM(B57:G57)</f>
        <v/>
      </c>
    </row>
    <row r="61">
      <c r="A61" t="inlineStr">
        <is>
          <t>Relación LTV/CAC</t>
        </is>
      </c>
      <c r="B61" s="55" t="n">
        <v>3</v>
      </c>
      <c r="C61" s="55" t="n">
        <v>4</v>
      </c>
      <c r="D61" s="55" t="n">
        <v>5</v>
      </c>
      <c r="E61" s="55" t="n">
        <v>6</v>
      </c>
      <c r="F61" s="55" t="n">
        <v>8</v>
      </c>
    </row>
    <row r="62">
      <c r="A62" t="inlineStr">
        <is>
          <t>CAC Máximo Viable Permitido</t>
        </is>
      </c>
      <c r="B62" s="56">
        <f>$B$58/B61</f>
        <v/>
      </c>
      <c r="C62" s="56">
        <f>$B$58/C61</f>
        <v/>
      </c>
      <c r="D62" s="56">
        <f>$B$58/D61</f>
        <v/>
      </c>
      <c r="E62" s="56">
        <f>$B$58/E61</f>
        <v/>
      </c>
      <c r="F62" s="56">
        <f>$B$58/F61</f>
        <v/>
      </c>
      <c r="G62" s="56">
        <f>$B$58/G61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2026-10-30T18:28:12Z</dcterms:created>
  <dcterms:modified xmlns:dcterms="http://purl.org/dc/terms/" xmlns:xsi="http://www.w3.org/2001/XMLSchema-instance" xsi:type="dcterms:W3CDTF">2026-10-30T18:28:12Z</dcterms:modified>
</cp:coreProperties>
</file>