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880" yWindow="500" windowWidth="35240" windowHeight="18060" tabRatio="600" firstSheet="0" activeTab="0" autoFilterDateGrouping="1"/>
  </bookViews>
  <sheets>
    <sheet name="Plantilla LTV" sheetId="1" state="visible" r:id="rId1"/>
    <sheet name=" Ejemplo 1" sheetId="2" state="visible" r:id="rId2"/>
    <sheet name=" Ejemplo 2" sheetId="3" state="visible" r:id="rId3"/>
    <sheet name=" Ejemplo 3" sheetId="4" state="visible" r:id="rId4"/>
    <sheet name=" Costo del capital propio" sheetId="5" state="visible" r:id="rId5"/>
    <sheet name=" Batir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.00_);[Red]\(&quot;$&quot;#,##0.00\)"/>
    <numFmt numFmtId="165" formatCode="&quot;$&quot;#,##0"/>
    <numFmt numFmtId="166" formatCode="0.0%"/>
    <numFmt numFmtId="167" formatCode="#,##0.0000"/>
    <numFmt numFmtId="168" formatCode="#,##0.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23">
    <xf numFmtId="0" fontId="0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2" borderId="0" pivotButton="0" quotePrefix="0" xfId="0"/>
    <xf numFmtId="0" fontId="0" fillId="2" borderId="0" pivotButton="0" quotePrefix="0" xfId="0"/>
    <xf numFmtId="166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3" fontId="0" fillId="2" borderId="0" pivotButton="0" quotePrefix="0" xfId="0"/>
    <xf numFmtId="0" fontId="1" fillId="0" borderId="0" applyAlignment="1" pivotButton="0" quotePrefix="0" xfId="0">
      <alignment horizontal="center"/>
    </xf>
    <xf numFmtId="9" fontId="0" fillId="2" borderId="0" pivotButton="0" quotePrefix="0" xfId="0"/>
    <xf numFmtId="0" fontId="2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7" fontId="0" fillId="0" borderId="0" pivotButton="0" quotePrefix="0" xfId="0"/>
    <xf numFmtId="165" fontId="2" fillId="0" borderId="0" pivotButton="0" quotePrefix="0" xfId="0"/>
    <xf numFmtId="0" fontId="4" fillId="0" borderId="0" pivotButton="0" quotePrefix="0" xfId="2"/>
    <xf numFmtId="168" fontId="0" fillId="0" borderId="0" pivotButton="0" quotePrefix="0" xfId="0"/>
    <xf numFmtId="9" fontId="1" fillId="0" borderId="0" pivotButton="0" quotePrefix="0" xfId="0"/>
    <xf numFmtId="0" fontId="5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Hipervínculo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planprojections.com/funding/cost-of-equity-financing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tabSelected="1" workbookViewId="0">
      <selection activeCell="J63" sqref="J63"/>
    </sheetView>
  </sheetViews>
  <sheetFormatPr baseColWidth="10" defaultColWidth="9.1640625" defaultRowHeight="15"/>
  <cols>
    <col width="33.33203125" customWidth="1" min="1" max="1"/>
    <col width="12" customWidth="1" min="2" max="2"/>
    <col width="9.83203125" customWidth="1" min="3" max="3"/>
    <col width="9.5" customWidth="1" min="4" max="4"/>
    <col width="10.1640625" customWidth="1" min="5" max="6"/>
  </cols>
  <sheetData>
    <row r="1" ht="19" customHeight="1">
      <c r="A1" s="13" t="inlineStr">
        <is>
          <t>Supuestos</t>
        </is>
      </c>
      <c r="B1" s="13" t="inlineStr">
        <is>
          <t>Entradas</t>
        </is>
      </c>
      <c r="D1" s="13" t="inlineStr">
        <is>
          <t>Notas</t>
        </is>
      </c>
    </row>
    <row r="2" ht="19" customHeight="1">
      <c r="A2" s="21" t="inlineStr">
        <is>
          <t>Venta por única vez</t>
        </is>
      </c>
      <c r="B2" s="13" t="n"/>
      <c r="D2" s="13" t="n"/>
    </row>
    <row r="3">
      <c r="A3" t="inlineStr">
        <is>
          <t>Venta inicial promedio</t>
        </is>
      </c>
      <c r="B3" s="4" t="n">
        <v>0</v>
      </c>
      <c r="D3" t="inlineStr">
        <is>
          <t>Este modelo supone que la compra inicial se realiza al comienzo del año 0.</t>
        </is>
      </c>
    </row>
    <row r="4">
      <c r="A4" t="inlineStr">
        <is>
          <t>Margen bruto - Venta inicial</t>
        </is>
      </c>
      <c r="B4" s="6" t="n">
        <v>0</v>
      </c>
      <c r="D4" t="inlineStr">
        <is>
          <t>Si no hay compra inicial, introduzca 0 $ para el valor medio de la venta inicial.</t>
        </is>
      </c>
    </row>
    <row r="5">
      <c r="A5" t="inlineStr">
        <is>
          <t>Tasa de compra del siguiente producto</t>
        </is>
      </c>
      <c r="B5" s="12" t="n">
        <v>0</v>
      </c>
    </row>
    <row r="6">
      <c r="A6" t="inlineStr">
        <is>
          <t>Año de compra del próximo producto</t>
        </is>
      </c>
      <c r="B6" s="10" t="n">
        <v>0</v>
      </c>
      <c r="D6" t="inlineStr">
        <is>
          <t>Si el producto se compra una o más veces al año, utilice la sección de Compras Periódicas a continuación.</t>
        </is>
      </c>
    </row>
    <row r="7">
      <c r="B7" s="1" t="n"/>
    </row>
    <row r="8" ht="16" customHeight="1">
      <c r="A8" s="21" t="inlineStr">
        <is>
          <t>Compras periódicas</t>
        </is>
      </c>
      <c r="B8" s="1" t="n"/>
      <c r="D8" t="inlineStr">
        <is>
          <t>El cliente compra una o más veces al año.</t>
        </is>
      </c>
    </row>
    <row r="9">
      <c r="A9" t="inlineStr">
        <is>
          <t>Ingresos anuales</t>
        </is>
      </c>
      <c r="B9" s="4" t="n">
        <v>153600</v>
      </c>
      <c r="D9" t="inlineStr">
        <is>
          <t>Típico de muchas empresas</t>
        </is>
      </c>
    </row>
    <row r="10">
      <c r="A10" t="inlineStr">
        <is>
          <t>Margen bruto - Ingresos anuales</t>
        </is>
      </c>
      <c r="B10" s="6" t="n">
        <v>0.833333</v>
      </c>
    </row>
    <row r="11">
      <c r="A11" t="inlineStr">
        <is>
          <t>Tasa de retención</t>
        </is>
      </c>
      <c r="B11" s="6" t="n">
        <v>0.8</v>
      </c>
    </row>
    <row r="12">
      <c r="B12" s="1" t="n"/>
    </row>
    <row r="13" ht="16" customHeight="1">
      <c r="A13" s="21" t="inlineStr">
        <is>
          <t>Ingresos recurrentes</t>
        </is>
      </c>
      <c r="B13" s="14" t="n"/>
      <c r="D13" t="inlineStr">
        <is>
          <t>El cliente paga de forma recurrente.</t>
        </is>
      </c>
    </row>
    <row r="14">
      <c r="A14" t="inlineStr">
        <is>
          <t>Ingresos recurrentes promedio</t>
        </is>
      </c>
      <c r="B14" s="4" t="n">
        <v>0</v>
      </c>
      <c r="D14" t="inlineStr">
        <is>
          <t>Ingresos por período de facturación</t>
        </is>
      </c>
    </row>
    <row r="15">
      <c r="A15" t="inlineStr">
        <is>
          <t>Margen bruto - Ingresos recurrentes</t>
        </is>
      </c>
      <c r="B15" s="6" t="n">
        <v>0</v>
      </c>
      <c r="D15" t="inlineStr">
        <is>
          <t>El cliente paga de forma recurrente.</t>
        </is>
      </c>
    </row>
    <row r="16">
      <c r="A16" t="inlineStr">
        <is>
          <t># meses de recurrencia en el Año 1</t>
        </is>
      </c>
      <c r="B16" s="5" t="n">
        <v>0</v>
      </c>
      <c r="D16" t="inlineStr">
        <is>
          <t>Podría ser una suscripción mensual.</t>
        </is>
      </c>
    </row>
    <row r="17">
      <c r="A17" t="inlineStr">
        <is>
          <t>meses de recurrencia en los años 2-5</t>
        </is>
      </c>
      <c r="B17" s="5" t="n">
        <v>0</v>
      </c>
      <c r="D17" t="inlineStr">
        <is>
          <t>Podría ser una caja de suscripción trimestral</t>
        </is>
      </c>
    </row>
    <row r="18">
      <c r="A18" t="inlineStr">
        <is>
          <t>Tasa de retención</t>
        </is>
      </c>
      <c r="B18" s="6" t="n">
        <v>0</v>
      </c>
    </row>
    <row r="19">
      <c r="B19" s="22" t="n"/>
    </row>
    <row r="20" ht="16" customHeight="1">
      <c r="A20" s="21" t="inlineStr">
        <is>
          <t>Ventas adicionales</t>
        </is>
      </c>
      <c r="D20" t="inlineStr">
        <is>
          <t>Cualquier otra venta que no se ajuste a las categorías anteriores.</t>
        </is>
      </c>
    </row>
    <row r="21">
      <c r="A21" t="inlineStr">
        <is>
          <t>Ventas anuales de complementos - Inicio del año 1</t>
        </is>
      </c>
      <c r="B21" s="4" t="n">
        <v>0</v>
      </c>
    </row>
    <row r="22">
      <c r="A22" t="inlineStr">
        <is>
          <t>Margen bruto - Ventas adicionales</t>
        </is>
      </c>
      <c r="B22" s="6" t="n">
        <v>0</v>
      </c>
    </row>
    <row r="23">
      <c r="A23" t="inlineStr">
        <is>
          <t>Tasa de retención</t>
        </is>
      </c>
      <c r="B23" s="6" t="n">
        <v>0</v>
      </c>
    </row>
    <row r="24">
      <c r="B24" s="22" t="n"/>
    </row>
    <row r="25" ht="16" customHeight="1">
      <c r="A25" s="21" t="inlineStr">
        <is>
          <t>Costo de capital</t>
        </is>
      </c>
      <c r="D25" t="inlineStr">
        <is>
          <t>Supongamos un 50% si se renuncia a la participación accionaria.</t>
        </is>
      </c>
    </row>
    <row r="26">
      <c r="A26" t="inlineStr">
        <is>
          <t>Costo de capital</t>
        </is>
      </c>
      <c r="B26" s="12" t="n">
        <v>0.5</v>
      </c>
      <c r="D26" t="inlineStr">
        <is>
          <t>Si pides dinero prestado, usa el 12%.</t>
        </is>
      </c>
    </row>
    <row r="27">
      <c r="B27" s="2" t="n"/>
    </row>
    <row r="28">
      <c r="B28" s="11" t="inlineStr">
        <is>
          <t>Día</t>
        </is>
      </c>
      <c r="C28" s="11" t="inlineStr">
        <is>
          <t>Año</t>
        </is>
      </c>
      <c r="D28" s="11" t="inlineStr">
        <is>
          <t>Año</t>
        </is>
      </c>
      <c r="E28" s="11" t="inlineStr">
        <is>
          <t>Año</t>
        </is>
      </c>
      <c r="F28" s="11" t="inlineStr">
        <is>
          <t>Año</t>
        </is>
      </c>
      <c r="G28" s="11" t="inlineStr">
        <is>
          <t>Año</t>
        </is>
      </c>
    </row>
    <row r="29" ht="19" customHeight="1">
      <c r="A29" s="13" t="inlineStr">
        <is>
          <t>Cálculo del LTV</t>
        </is>
      </c>
      <c r="B29" s="11" t="n">
        <v>0</v>
      </c>
      <c r="C29" s="11" t="n">
        <v>1</v>
      </c>
      <c r="D29" s="11" t="n">
        <v>2</v>
      </c>
      <c r="E29" s="11" t="n">
        <v>3</v>
      </c>
      <c r="F29" s="11" t="n">
        <v>4</v>
      </c>
      <c r="G29" s="11" t="n">
        <v>5</v>
      </c>
    </row>
    <row r="30">
      <c r="A30" s="7" t="inlineStr">
        <is>
          <t>Ingresos iniciales por ventas</t>
        </is>
      </c>
      <c r="B30" s="14">
        <f>B3</f>
        <v/>
      </c>
      <c r="C30" s="14">
        <f>IF(C29=$B$6,$B$3,0)</f>
        <v/>
      </c>
      <c r="D30" s="14">
        <f>IF(OR(D29=$B$6,D29=2*$B$6),$B$3,0)</f>
        <v/>
      </c>
      <c r="E30" s="14">
        <f>IF(OR(E29=$B$6,E29=2*$B$6),$B$3,0)</f>
        <v/>
      </c>
      <c r="F30" s="14">
        <f>IF(OR(F29=$B$6,F29=2*$B$6),$B$3,0)</f>
        <v/>
      </c>
      <c r="G30" s="14">
        <f>IF(OR(G29=$B$6,G29=2*$B$6),$B$3,0)</f>
        <v/>
      </c>
    </row>
    <row r="31">
      <c r="A31" t="inlineStr">
        <is>
          <t>Margen bruto - Venta inicial</t>
        </is>
      </c>
      <c r="B31" s="2">
        <f>B4</f>
        <v/>
      </c>
      <c r="C31" s="2">
        <f>B31</f>
        <v/>
      </c>
      <c r="D31" s="2">
        <f>C31</f>
        <v/>
      </c>
      <c r="E31" s="2">
        <f>D31</f>
        <v/>
      </c>
      <c r="F31" s="2">
        <f>E31</f>
        <v/>
      </c>
      <c r="G31" s="2">
        <f>F31</f>
        <v/>
      </c>
    </row>
    <row r="32">
      <c r="A32" t="inlineStr">
        <is>
          <t>Tasa de recompra</t>
        </is>
      </c>
      <c r="B32" s="2" t="n"/>
      <c r="C32" s="2">
        <f>B5</f>
        <v/>
      </c>
      <c r="D32" s="2">
        <f>C32</f>
        <v/>
      </c>
      <c r="E32" s="2">
        <f>D32</f>
        <v/>
      </c>
      <c r="F32" s="2">
        <f>E32</f>
        <v/>
      </c>
      <c r="G32" s="2">
        <f>F32</f>
        <v/>
      </c>
    </row>
    <row r="33">
      <c r="A33" t="inlineStr">
        <is>
          <t>Ganancia de la venta inicial</t>
        </is>
      </c>
      <c r="B33" s="14">
        <f>B30*B31</f>
        <v/>
      </c>
      <c r="C33" s="14">
        <f>C30*C31*C32</f>
        <v/>
      </c>
      <c r="D33" s="14">
        <f>D30*D31*D32</f>
        <v/>
      </c>
      <c r="E33" s="14">
        <f>E30*E31*E32</f>
        <v/>
      </c>
      <c r="F33" s="14">
        <f>F30*F31*F32</f>
        <v/>
      </c>
      <c r="G33" s="14">
        <f>G30*G31*G32</f>
        <v/>
      </c>
    </row>
    <row r="34">
      <c r="B34" s="14" t="n"/>
      <c r="C34" s="14" t="n"/>
      <c r="D34" s="14" t="n"/>
      <c r="E34" s="14" t="n"/>
      <c r="F34" s="14" t="n"/>
      <c r="G34" s="14" t="n"/>
    </row>
    <row r="35">
      <c r="A35" s="7" t="inlineStr">
        <is>
          <t>Compras periódicas - Ingresos anuales</t>
        </is>
      </c>
      <c r="B35" s="14" t="n"/>
      <c r="C35" s="14">
        <f>$B$9</f>
        <v/>
      </c>
      <c r="D35" s="14">
        <f>$B$9</f>
        <v/>
      </c>
      <c r="E35" s="14">
        <f>$B$9</f>
        <v/>
      </c>
      <c r="F35" s="14">
        <f>$B$9</f>
        <v/>
      </c>
      <c r="G35" s="14">
        <f>$B$9</f>
        <v/>
      </c>
    </row>
    <row r="36">
      <c r="A36" t="inlineStr">
        <is>
          <t>Tasa de retención</t>
        </is>
      </c>
      <c r="B36" s="2" t="n"/>
      <c r="C36" s="2">
        <f>$B$11</f>
        <v/>
      </c>
      <c r="D36" s="2">
        <f>C36</f>
        <v/>
      </c>
      <c r="E36" s="2">
        <f>D36</f>
        <v/>
      </c>
      <c r="F36" s="2">
        <f>E36</f>
        <v/>
      </c>
      <c r="G36" s="2">
        <f>F36</f>
        <v/>
      </c>
    </row>
    <row r="37">
      <c r="A37" t="inlineStr">
        <is>
          <t>Tasa de retención acumulada</t>
        </is>
      </c>
      <c r="B37" s="2" t="n"/>
      <c r="C37" s="2">
        <f>C36</f>
        <v/>
      </c>
      <c r="D37" s="2">
        <f>C37*D36</f>
        <v/>
      </c>
      <c r="E37" s="2">
        <f>D37*E36</f>
        <v/>
      </c>
      <c r="F37" s="2">
        <f>E37*F36</f>
        <v/>
      </c>
      <c r="G37" s="2">
        <f>F37*G36</f>
        <v/>
      </c>
    </row>
    <row r="38">
      <c r="A38" t="inlineStr">
        <is>
          <t>Margen bruto para ingresos anuales</t>
        </is>
      </c>
      <c r="B38" s="2" t="n"/>
      <c r="C38" s="2">
        <f>$B$10</f>
        <v/>
      </c>
      <c r="D38" s="2">
        <f>C38</f>
        <v/>
      </c>
      <c r="E38" s="2">
        <f>D38</f>
        <v/>
      </c>
      <c r="F38" s="2">
        <f>E38</f>
        <v/>
      </c>
      <c r="G38" s="2">
        <f>F38</f>
        <v/>
      </c>
    </row>
    <row r="39">
      <c r="A39" t="inlineStr">
        <is>
          <t>Beneficios derivados de los ingresos anuales</t>
        </is>
      </c>
      <c r="B39" s="14">
        <f>B35*B37*B38</f>
        <v/>
      </c>
      <c r="C39" s="14">
        <f>C35*C37*C38</f>
        <v/>
      </c>
      <c r="D39" s="14">
        <f>D35*D37*D38</f>
        <v/>
      </c>
      <c r="E39" s="14">
        <f>E35*E37*E38</f>
        <v/>
      </c>
      <c r="F39" s="14">
        <f>F35*F37*F38</f>
        <v/>
      </c>
      <c r="G39" s="14">
        <f>G35*G37*G38</f>
        <v/>
      </c>
    </row>
    <row r="41">
      <c r="A41" s="7" t="inlineStr">
        <is>
          <t>Ingresos recurrentes</t>
        </is>
      </c>
      <c r="B41" s="14" t="n"/>
      <c r="C41" s="14">
        <f>$B$14*$B$16</f>
        <v/>
      </c>
      <c r="D41" s="14">
        <f>$B$14*$B$17</f>
        <v/>
      </c>
      <c r="E41" s="14">
        <f>$B$14*$B$17</f>
        <v/>
      </c>
      <c r="F41" s="14">
        <f>$B$14*$B$17</f>
        <v/>
      </c>
      <c r="G41" s="14">
        <f>$B$14*$B$17</f>
        <v/>
      </c>
    </row>
    <row r="42">
      <c r="A42" t="inlineStr">
        <is>
          <t>Tasa de retención</t>
        </is>
      </c>
      <c r="B42" s="2" t="n"/>
      <c r="C42" s="2">
        <f>B18</f>
        <v/>
      </c>
      <c r="D42" s="2">
        <f>C42</f>
        <v/>
      </c>
      <c r="E42" s="2">
        <f>D42</f>
        <v/>
      </c>
      <c r="F42" s="2">
        <f>E42</f>
        <v/>
      </c>
      <c r="G42" s="2">
        <f>F42</f>
        <v/>
      </c>
    </row>
    <row r="43">
      <c r="A43" t="inlineStr">
        <is>
          <t>Tasa de retención acumulada</t>
        </is>
      </c>
      <c r="B43" s="2" t="n"/>
      <c r="C43" s="2">
        <f>C42</f>
        <v/>
      </c>
      <c r="D43" s="2">
        <f>C43*D42</f>
        <v/>
      </c>
      <c r="E43" s="2">
        <f>D43*E42</f>
        <v/>
      </c>
      <c r="F43" s="2">
        <f>E43*F42</f>
        <v/>
      </c>
      <c r="G43" s="2">
        <f>F43*G42</f>
        <v/>
      </c>
    </row>
    <row r="44">
      <c r="A44" t="inlineStr">
        <is>
          <t>Margen bruto para ingresos recurrentes</t>
        </is>
      </c>
      <c r="B44" s="2" t="n"/>
      <c r="C44" s="2">
        <f>B15</f>
        <v/>
      </c>
      <c r="D44" s="2">
        <f>C44</f>
        <v/>
      </c>
      <c r="E44" s="2">
        <f>D44</f>
        <v/>
      </c>
      <c r="F44" s="2">
        <f>E44</f>
        <v/>
      </c>
      <c r="G44" s="2">
        <f>F44</f>
        <v/>
      </c>
    </row>
    <row r="45">
      <c r="A45" t="inlineStr">
        <is>
          <t>Beneficios de los ingresos recurrentes</t>
        </is>
      </c>
      <c r="B45" s="14">
        <f>B41*B43*B44</f>
        <v/>
      </c>
      <c r="C45" s="14">
        <f>C41*C43*C44</f>
        <v/>
      </c>
      <c r="D45" s="14">
        <f>D41*D43*D44</f>
        <v/>
      </c>
      <c r="E45" s="14">
        <f>E41*E43*E44</f>
        <v/>
      </c>
      <c r="F45" s="14">
        <f>F41*F43*F44</f>
        <v/>
      </c>
      <c r="G45" s="14">
        <f>G41*G43*G44</f>
        <v/>
      </c>
    </row>
    <row r="47">
      <c r="A47" s="7" t="inlineStr">
        <is>
          <t>Ingresos por ventas adicionales</t>
        </is>
      </c>
      <c r="B47" s="14" t="n"/>
      <c r="C47" s="14">
        <f>B21</f>
        <v/>
      </c>
      <c r="D47" s="14">
        <f>C47</f>
        <v/>
      </c>
      <c r="E47" s="14">
        <f>D47</f>
        <v/>
      </c>
      <c r="F47" s="14">
        <f>E47</f>
        <v/>
      </c>
      <c r="G47" s="14">
        <f>F47</f>
        <v/>
      </c>
    </row>
    <row r="48">
      <c r="A48" t="inlineStr">
        <is>
          <t>Tasa de retención</t>
        </is>
      </c>
      <c r="B48" s="2" t="n"/>
      <c r="C48" s="2">
        <f>B23</f>
        <v/>
      </c>
      <c r="D48" s="2">
        <f>C48</f>
        <v/>
      </c>
      <c r="E48" s="2">
        <f>D48</f>
        <v/>
      </c>
      <c r="F48" s="2">
        <f>E48</f>
        <v/>
      </c>
      <c r="G48" s="2">
        <f>F48</f>
        <v/>
      </c>
    </row>
    <row r="49">
      <c r="A49" t="inlineStr">
        <is>
          <t>Tasa de retención acumulada</t>
        </is>
      </c>
      <c r="B49" s="2" t="n"/>
      <c r="C49" s="2">
        <f>C48</f>
        <v/>
      </c>
      <c r="D49" s="2">
        <f>C49*D48</f>
        <v/>
      </c>
      <c r="E49" s="2">
        <f>D49*E48</f>
        <v/>
      </c>
      <c r="F49" s="2">
        <f>E49*F48</f>
        <v/>
      </c>
      <c r="G49" s="2">
        <f>F49*G48</f>
        <v/>
      </c>
    </row>
    <row r="50">
      <c r="A50" t="inlineStr">
        <is>
          <t>Margen bruto para ventas adicionales</t>
        </is>
      </c>
      <c r="B50" s="2" t="n"/>
      <c r="C50" s="2">
        <f>B22</f>
        <v/>
      </c>
      <c r="D50" s="2">
        <f>C50</f>
        <v/>
      </c>
      <c r="E50" s="2">
        <f>D50</f>
        <v/>
      </c>
      <c r="F50" s="2">
        <f>E50</f>
        <v/>
      </c>
      <c r="G50" s="2">
        <f>F50</f>
        <v/>
      </c>
    </row>
    <row r="51">
      <c r="A51" t="inlineStr">
        <is>
          <t>Obtenga ganancias con las ventas de complementos</t>
        </is>
      </c>
      <c r="B51" s="14">
        <f>B47*B49*B50</f>
        <v/>
      </c>
      <c r="C51" s="14">
        <f>C47*C49*C50</f>
        <v/>
      </c>
      <c r="D51" s="14">
        <f>D47*D49*D50</f>
        <v/>
      </c>
      <c r="E51" s="14">
        <f>E47*E49*E50</f>
        <v/>
      </c>
      <c r="F51" s="14">
        <f>F47*F49*F50</f>
        <v/>
      </c>
      <c r="G51" s="14">
        <f>G47*G49*G50</f>
        <v/>
      </c>
    </row>
    <row r="53">
      <c r="A53" s="7" t="inlineStr">
        <is>
          <t>Beneficios totales</t>
        </is>
      </c>
      <c r="B53" s="14">
        <f>B33+B39+B45+B51</f>
        <v/>
      </c>
      <c r="C53" s="14">
        <f>C33+C39+C45+C51</f>
        <v/>
      </c>
      <c r="D53" s="14">
        <f>D33+D39+D45+D51</f>
        <v/>
      </c>
      <c r="E53" s="14">
        <f>E33+E39+E45+E51</f>
        <v/>
      </c>
      <c r="F53" s="14">
        <f>F33+F39+F45+F51</f>
        <v/>
      </c>
      <c r="G53" s="14">
        <f>G33+G39+G45+G51</f>
        <v/>
      </c>
      <c r="H53" s="1" t="n"/>
    </row>
    <row r="54">
      <c r="B54" s="14" t="n"/>
      <c r="C54" s="14" t="n"/>
      <c r="D54" s="14" t="n"/>
      <c r="E54" s="14" t="n"/>
      <c r="F54" s="14" t="n"/>
      <c r="G54" s="14" t="n"/>
      <c r="H54" s="1" t="n"/>
    </row>
    <row r="55">
      <c r="A55" s="7" t="inlineStr">
        <is>
          <t>Tasa de costo de capital</t>
        </is>
      </c>
      <c r="B55" s="2">
        <f>B26</f>
        <v/>
      </c>
      <c r="C55" s="2">
        <f>B55</f>
        <v/>
      </c>
      <c r="D55" s="2">
        <f>C55</f>
        <v/>
      </c>
      <c r="E55" s="2">
        <f>D55</f>
        <v/>
      </c>
      <c r="F55" s="2">
        <f>E55</f>
        <v/>
      </c>
      <c r="G55" s="2">
        <f>F55</f>
        <v/>
      </c>
      <c r="H55" s="1" t="n"/>
    </row>
    <row r="56">
      <c r="A56" t="inlineStr">
        <is>
          <t>Factor de valor actual neto</t>
        </is>
      </c>
      <c r="B56" s="16">
        <f>(1/(1+$B$26))^B29</f>
        <v/>
      </c>
      <c r="C56" s="16">
        <f>(1/(1+$B$26))^C29</f>
        <v/>
      </c>
      <c r="D56" s="16">
        <f>(1/(1+$B$26))^D29</f>
        <v/>
      </c>
      <c r="E56" s="16">
        <f>(1/(1+$B$26))^E29</f>
        <v/>
      </c>
      <c r="F56" s="16">
        <f>(1/(1+$B$26))^F29</f>
        <v/>
      </c>
      <c r="G56" s="16">
        <f>(1/(1+$B$26))^G29</f>
        <v/>
      </c>
      <c r="H56" s="1" t="n"/>
    </row>
    <row r="57">
      <c r="A57" t="inlineStr">
        <is>
          <t>Valor actual de las ganancias</t>
        </is>
      </c>
      <c r="B57" s="14">
        <f>B53*B56</f>
        <v/>
      </c>
      <c r="C57" s="14">
        <f>C53*C56</f>
        <v/>
      </c>
      <c r="D57" s="14">
        <f>D53*D56</f>
        <v/>
      </c>
      <c r="E57" s="14">
        <f>E53*E56</f>
        <v/>
      </c>
      <c r="F57" s="14">
        <f>F53*F56</f>
        <v/>
      </c>
      <c r="G57" s="14">
        <f>G53*G56</f>
        <v/>
      </c>
      <c r="H57" s="1" t="n"/>
    </row>
    <row r="58" ht="19" customHeight="1">
      <c r="A58" s="21" t="inlineStr">
        <is>
          <t>LTV/Valor Actual Neto de las Ganancias</t>
        </is>
      </c>
      <c r="B58" s="17">
        <f>SUM(B57:G57)</f>
        <v/>
      </c>
      <c r="C58" s="14" t="n"/>
      <c r="D58" s="14" t="n"/>
      <c r="E58" s="14" t="n"/>
      <c r="F58" s="14" t="n"/>
      <c r="G58" s="14" t="n"/>
      <c r="H58" s="1" t="n"/>
    </row>
    <row r="59">
      <c r="B59" s="3" t="n"/>
    </row>
    <row r="60">
      <c r="A60" s="8" t="n"/>
      <c r="B60" s="9" t="n"/>
      <c r="C60" s="9" t="n"/>
      <c r="D60" s="9" t="n"/>
      <c r="E60" s="9" t="n"/>
      <c r="F60" s="9" t="n"/>
    </row>
    <row r="61">
      <c r="A61" s="8" t="inlineStr">
        <is>
          <t>Relación LTV/CAC</t>
        </is>
      </c>
      <c r="B61" s="9" t="n">
        <v>3</v>
      </c>
      <c r="C61" s="9" t="n">
        <v>4</v>
      </c>
      <c r="D61" s="9" t="n">
        <v>5</v>
      </c>
      <c r="E61" s="9" t="n">
        <v>6</v>
      </c>
      <c r="F61" s="9" t="n">
        <v>8</v>
      </c>
    </row>
    <row r="62">
      <c r="A62" s="8" t="inlineStr">
        <is>
          <t>CAC (Costo de Adquisición de Clientes)</t>
        </is>
      </c>
      <c r="B62" s="15">
        <f>$B$58/B61</f>
        <v/>
      </c>
      <c r="C62" s="15">
        <f>$B$58/C61</f>
        <v/>
      </c>
      <c r="D62" s="15">
        <f>$B$58/D61</f>
        <v/>
      </c>
      <c r="E62" s="15">
        <f>$B$58/E61</f>
        <v/>
      </c>
      <c r="F62" s="15">
        <f>$B$58/F61</f>
        <v/>
      </c>
    </row>
    <row r="74">
      <c r="B74" s="2" t="n"/>
    </row>
    <row r="75">
      <c r="B75" s="3" t="n"/>
    </row>
  </sheetData>
  <printOptions gridLines="1"/>
  <pageMargins left="0.7" right="0.7" top="0.75" bottom="0.75" header="0.3" footer="0.3"/>
  <pageSetup orientation="landscape" verticalDpi="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30" topLeftCell="B49" activePane="bottomRight" state="frozen"/>
      <selection pane="topRight" activeCell="B1" sqref="B1"/>
      <selection pane="bottomLeft" activeCell="A10" sqref="A10"/>
      <selection pane="bottomRight" activeCell="A59" sqref="A59"/>
    </sheetView>
  </sheetViews>
  <sheetFormatPr baseColWidth="10" defaultColWidth="9.1640625" defaultRowHeight="15"/>
  <cols>
    <col width="34.33203125" customWidth="1" min="1" max="1"/>
    <col width="12" customWidth="1" min="2" max="2"/>
    <col width="9.83203125" customWidth="1" min="3" max="3"/>
    <col width="9.5" customWidth="1" min="4" max="4"/>
    <col width="10.1640625" customWidth="1" min="5" max="6"/>
  </cols>
  <sheetData>
    <row r="1" ht="19" customHeight="1">
      <c r="A1" s="13" t="inlineStr">
        <is>
          <t>Ejemplo: compras periódicas con una caja de suscripción trimestral</t>
        </is>
      </c>
    </row>
    <row r="2" ht="19" customHeight="1">
      <c r="A2" s="13" t="inlineStr">
        <is>
          <t>Supuestos</t>
        </is>
      </c>
      <c r="B2" s="13" t="inlineStr">
        <is>
          <t>Entradas</t>
        </is>
      </c>
      <c r="D2" s="13" t="inlineStr">
        <is>
          <t>Notas</t>
        </is>
      </c>
    </row>
    <row r="3" ht="19" customHeight="1">
      <c r="A3" s="21" t="inlineStr">
        <is>
          <t>Venta por única vez</t>
        </is>
      </c>
      <c r="B3" s="13" t="n"/>
      <c r="D3" s="13" t="n"/>
    </row>
    <row r="4">
      <c r="A4" t="inlineStr">
        <is>
          <t>Venta inicial promedio</t>
        </is>
      </c>
      <c r="B4" s="4" t="n">
        <v>0</v>
      </c>
      <c r="D4" t="inlineStr">
        <is>
          <t>Este modelo supone que la compra inicial se realiza al comienzo del año 0.</t>
        </is>
      </c>
    </row>
    <row r="5">
      <c r="A5" t="inlineStr">
        <is>
          <t>Margen bruto - Venta inicial</t>
        </is>
      </c>
      <c r="B5" s="6" t="n">
        <v>0</v>
      </c>
      <c r="D5" t="inlineStr">
        <is>
          <t>Si no hay compra inicial, introduzca 0 $ para el valor medio de la venta inicial.</t>
        </is>
      </c>
    </row>
    <row r="6">
      <c r="A6" t="inlineStr">
        <is>
          <t>Tasa de compra del siguiente producto</t>
        </is>
      </c>
      <c r="B6" s="12" t="n">
        <v>0</v>
      </c>
    </row>
    <row r="7">
      <c r="A7" t="inlineStr">
        <is>
          <t>Año de compra del próximo producto</t>
        </is>
      </c>
      <c r="B7" s="10" t="n">
        <v>0</v>
      </c>
      <c r="D7" t="inlineStr">
        <is>
          <t>Si el producto se compra una o más veces al año, utilice la sección de Compras Periódicas a continuación.</t>
        </is>
      </c>
    </row>
    <row r="8">
      <c r="B8" s="1" t="n"/>
    </row>
    <row r="9" ht="16" customHeight="1">
      <c r="A9" s="21" t="inlineStr">
        <is>
          <t>Compras periódicas</t>
        </is>
      </c>
      <c r="B9" s="1" t="n"/>
      <c r="D9" t="inlineStr">
        <is>
          <t>El cliente compra una o más veces al año.</t>
        </is>
      </c>
    </row>
    <row r="10">
      <c r="A10" t="inlineStr">
        <is>
          <t>Ingresos anuales</t>
        </is>
      </c>
      <c r="B10" s="4" t="n">
        <v>32</v>
      </c>
      <c r="D10" t="inlineStr">
        <is>
          <t>Típico de muchas empresas</t>
        </is>
      </c>
    </row>
    <row r="11">
      <c r="A11" t="inlineStr">
        <is>
          <t>Margen bruto - Ingresos anuales</t>
        </is>
      </c>
      <c r="B11" s="6" t="n">
        <v>0.68</v>
      </c>
    </row>
    <row r="12">
      <c r="A12" t="inlineStr">
        <is>
          <t>Tasa de retención</t>
        </is>
      </c>
      <c r="B12" s="6" t="n">
        <v>0.8</v>
      </c>
    </row>
    <row r="13">
      <c r="B13" s="1" t="n"/>
    </row>
    <row r="14" ht="16" customHeight="1">
      <c r="A14" s="21" t="inlineStr">
        <is>
          <t>Ingresos recurrentes</t>
        </is>
      </c>
      <c r="B14" s="14" t="n"/>
      <c r="D14" t="inlineStr">
        <is>
          <t>El cliente paga de forma recurrente.</t>
        </is>
      </c>
    </row>
    <row r="15">
      <c r="A15" t="inlineStr">
        <is>
          <t>Ingresos recurrentes promedio</t>
        </is>
      </c>
      <c r="B15" s="4" t="n">
        <v>40</v>
      </c>
      <c r="D15" t="inlineStr">
        <is>
          <t>Ingresos por período de facturación</t>
        </is>
      </c>
    </row>
    <row r="16">
      <c r="A16" t="inlineStr">
        <is>
          <t>Margen bruto - Ingresos recurrentes</t>
        </is>
      </c>
      <c r="B16" s="6" t="n">
        <v>0.68</v>
      </c>
      <c r="D16" t="inlineStr">
        <is>
          <t>El cliente paga de forma recurrente.</t>
        </is>
      </c>
    </row>
    <row r="17">
      <c r="A17" t="inlineStr">
        <is>
          <t># meses de recurrencia en el Año 1</t>
        </is>
      </c>
      <c r="B17" s="5" t="n">
        <v>4</v>
      </c>
      <c r="D17" t="inlineStr">
        <is>
          <t>Podría ser una suscripción mensual.</t>
        </is>
      </c>
    </row>
    <row r="18">
      <c r="A18" t="inlineStr">
        <is>
          <t>meses de recurrencia en los años 2-5</t>
        </is>
      </c>
      <c r="B18" s="5" t="n">
        <v>4</v>
      </c>
      <c r="D18" t="inlineStr">
        <is>
          <t>Podría ser una caja de suscripción trimestral</t>
        </is>
      </c>
    </row>
    <row r="19">
      <c r="A19" t="inlineStr">
        <is>
          <t>Tasa de retención</t>
        </is>
      </c>
      <c r="B19" s="6" t="n">
        <v>0.8</v>
      </c>
    </row>
    <row r="20">
      <c r="B20" s="22" t="n"/>
    </row>
    <row r="21" ht="16" customHeight="1">
      <c r="A21" s="21" t="inlineStr">
        <is>
          <t>Ventas adicionales</t>
        </is>
      </c>
      <c r="D21" t="inlineStr">
        <is>
          <t>Cualquier otra venta que no se ajuste a las categorías anteriores.</t>
        </is>
      </c>
    </row>
    <row r="22">
      <c r="A22" t="inlineStr">
        <is>
          <t>Ventas anuales de complementos - Inicio del año 1</t>
        </is>
      </c>
      <c r="B22" s="4" t="n">
        <v>0</v>
      </c>
    </row>
    <row r="23">
      <c r="A23" t="inlineStr">
        <is>
          <t>Margen bruto - Ventas adicionales</t>
        </is>
      </c>
      <c r="B23" s="6" t="n">
        <v>0</v>
      </c>
    </row>
    <row r="24">
      <c r="A24" t="inlineStr">
        <is>
          <t>Tasa de retención</t>
        </is>
      </c>
      <c r="B24" s="6" t="n">
        <v>0</v>
      </c>
    </row>
    <row r="25">
      <c r="B25" s="22" t="n"/>
    </row>
    <row r="26" ht="16" customHeight="1">
      <c r="A26" s="21" t="inlineStr">
        <is>
          <t>Costo de capital</t>
        </is>
      </c>
      <c r="D26" t="inlineStr">
        <is>
          <t>Supongamos un 50% si se renuncia a la participación accionaria.</t>
        </is>
      </c>
    </row>
    <row r="27">
      <c r="A27" t="inlineStr">
        <is>
          <t>Costo de capital</t>
        </is>
      </c>
      <c r="B27" s="12" t="n">
        <v>0.12</v>
      </c>
      <c r="D27" t="inlineStr">
        <is>
          <t>Si pides dinero prestado, usa el 12%.</t>
        </is>
      </c>
    </row>
    <row r="28">
      <c r="B28" s="2" t="n"/>
    </row>
    <row r="29">
      <c r="B29" s="11" t="inlineStr">
        <is>
          <t>Día</t>
        </is>
      </c>
      <c r="C29" s="11" t="inlineStr">
        <is>
          <t>Año</t>
        </is>
      </c>
      <c r="D29" s="11" t="inlineStr">
        <is>
          <t>Año</t>
        </is>
      </c>
      <c r="E29" s="11" t="inlineStr">
        <is>
          <t>Año</t>
        </is>
      </c>
      <c r="F29" s="11" t="inlineStr">
        <is>
          <t>Año</t>
        </is>
      </c>
      <c r="G29" s="11" t="inlineStr">
        <is>
          <t>Año</t>
        </is>
      </c>
    </row>
    <row r="30" ht="19" customHeight="1">
      <c r="A30" s="13" t="inlineStr">
        <is>
          <t>Cálculo del LTV</t>
        </is>
      </c>
      <c r="B30" s="11" t="n">
        <v>0</v>
      </c>
      <c r="C30" s="11" t="n">
        <v>1</v>
      </c>
      <c r="D30" s="11" t="n">
        <v>2</v>
      </c>
      <c r="E30" s="11" t="n">
        <v>3</v>
      </c>
      <c r="F30" s="11" t="n">
        <v>4</v>
      </c>
      <c r="G30" s="11" t="n">
        <v>5</v>
      </c>
    </row>
    <row r="31">
      <c r="A31" s="7" t="inlineStr">
        <is>
          <t>Ingresos iniciales por ventas</t>
        </is>
      </c>
      <c r="B31" s="14">
        <f>B4</f>
        <v/>
      </c>
      <c r="C31" s="14">
        <f>IF(C30=$B$7,$B$4,0)</f>
        <v/>
      </c>
      <c r="D31" s="14">
        <f>IF(OR(D30=$B$7,D30=2*$B$7),$B$4,0)</f>
        <v/>
      </c>
      <c r="E31" s="14">
        <f>IF(OR(E30=$B$7,E30=2*$B$7),$B$4,0)</f>
        <v/>
      </c>
      <c r="F31" s="14">
        <f>IF(OR(F30=$B$7,F30=2*$B$7),$B$4,0)</f>
        <v/>
      </c>
      <c r="G31" s="14">
        <f>IF(OR(G30=$B$7,G30=2*$B$7),$B$4,0)</f>
        <v/>
      </c>
    </row>
    <row r="32">
      <c r="A32" t="inlineStr">
        <is>
          <t>Margen bruto - Venta inicial</t>
        </is>
      </c>
      <c r="B32" s="2">
        <f>B5</f>
        <v/>
      </c>
      <c r="C32" s="2">
        <f>B32</f>
        <v/>
      </c>
      <c r="D32" s="2">
        <f>C32</f>
        <v/>
      </c>
      <c r="E32" s="2">
        <f>D32</f>
        <v/>
      </c>
      <c r="F32" s="2">
        <f>E32</f>
        <v/>
      </c>
      <c r="G32" s="2">
        <f>F32</f>
        <v/>
      </c>
    </row>
    <row r="33">
      <c r="A33" t="inlineStr">
        <is>
          <t>Tasa de recompra</t>
        </is>
      </c>
      <c r="B33" s="2" t="n"/>
      <c r="C33" s="2">
        <f>B6</f>
        <v/>
      </c>
      <c r="D33" s="2">
        <f>C33</f>
        <v/>
      </c>
      <c r="E33" s="2">
        <f>D33</f>
        <v/>
      </c>
      <c r="F33" s="2">
        <f>E33</f>
        <v/>
      </c>
      <c r="G33" s="2">
        <f>F33</f>
        <v/>
      </c>
    </row>
    <row r="34">
      <c r="A34" t="inlineStr">
        <is>
          <t>Ganancia de la venta inicial</t>
        </is>
      </c>
      <c r="B34" s="14">
        <f>B31*B32</f>
        <v/>
      </c>
      <c r="C34" s="14">
        <f>C31*C32*C33</f>
        <v/>
      </c>
      <c r="D34" s="14">
        <f>D31*D32*D33</f>
        <v/>
      </c>
      <c r="E34" s="14">
        <f>E31*E32*E33</f>
        <v/>
      </c>
      <c r="F34" s="14">
        <f>F31*F32*F33</f>
        <v/>
      </c>
      <c r="G34" s="14">
        <f>G31*G32*G33</f>
        <v/>
      </c>
    </row>
    <row r="35">
      <c r="B35" s="14" t="n"/>
      <c r="C35" s="14" t="n"/>
      <c r="D35" s="14" t="n"/>
      <c r="E35" s="14" t="n"/>
      <c r="F35" s="14" t="n"/>
      <c r="G35" s="14" t="n"/>
    </row>
    <row r="36">
      <c r="A36" s="7" t="inlineStr">
        <is>
          <t>Compras periódicas - Ingresos anuales</t>
        </is>
      </c>
      <c r="B36" s="14" t="n"/>
      <c r="C36" s="14">
        <f>$B$10</f>
        <v/>
      </c>
      <c r="D36" s="14">
        <f>$B$10</f>
        <v/>
      </c>
      <c r="E36" s="14">
        <f>$B$10</f>
        <v/>
      </c>
      <c r="F36" s="14">
        <f>$B$10</f>
        <v/>
      </c>
      <c r="G36" s="14">
        <f>$B$10</f>
        <v/>
      </c>
    </row>
    <row r="37">
      <c r="A37" t="inlineStr">
        <is>
          <t>Tasa de retención</t>
        </is>
      </c>
      <c r="B37" s="2" t="n"/>
      <c r="C37" s="2">
        <f>$B$12</f>
        <v/>
      </c>
      <c r="D37" s="2">
        <f>C37</f>
        <v/>
      </c>
      <c r="E37" s="2">
        <f>D37</f>
        <v/>
      </c>
      <c r="F37" s="2">
        <f>E37</f>
        <v/>
      </c>
      <c r="G37" s="2">
        <f>F37</f>
        <v/>
      </c>
    </row>
    <row r="38">
      <c r="A38" t="inlineStr">
        <is>
          <t>Tasa de retención acumulada</t>
        </is>
      </c>
      <c r="B38" s="2" t="n"/>
      <c r="C38" s="2">
        <f>C37</f>
        <v/>
      </c>
      <c r="D38" s="2">
        <f>C38*D37</f>
        <v/>
      </c>
      <c r="E38" s="2">
        <f>D38*E37</f>
        <v/>
      </c>
      <c r="F38" s="2">
        <f>E38*F37</f>
        <v/>
      </c>
      <c r="G38" s="2">
        <f>F38*G37</f>
        <v/>
      </c>
    </row>
    <row r="39">
      <c r="A39" t="inlineStr">
        <is>
          <t>Margen bruto para ingresos anuales</t>
        </is>
      </c>
      <c r="B39" s="2" t="n"/>
      <c r="C39" s="2">
        <f>$B$11</f>
        <v/>
      </c>
      <c r="D39" s="2">
        <f>C39</f>
        <v/>
      </c>
      <c r="E39" s="2">
        <f>D39</f>
        <v/>
      </c>
      <c r="F39" s="2">
        <f>E39</f>
        <v/>
      </c>
      <c r="G39" s="2">
        <f>F39</f>
        <v/>
      </c>
    </row>
    <row r="40">
      <c r="A40" t="inlineStr">
        <is>
          <t>Beneficios derivados de los ingresos anuales</t>
        </is>
      </c>
      <c r="B40" s="14">
        <f>B36*B38*B39</f>
        <v/>
      </c>
      <c r="C40" s="14">
        <f>C36*C38*C39</f>
        <v/>
      </c>
      <c r="D40" s="14">
        <f>D36*D38*D39</f>
        <v/>
      </c>
      <c r="E40" s="14">
        <f>E36*E38*E39</f>
        <v/>
      </c>
      <c r="F40" s="14">
        <f>F36*F38*F39</f>
        <v/>
      </c>
      <c r="G40" s="14">
        <f>G36*G38*G39</f>
        <v/>
      </c>
    </row>
    <row r="42">
      <c r="A42" s="7" t="inlineStr">
        <is>
          <t>Ingresos recurrentes</t>
        </is>
      </c>
      <c r="B42" s="14" t="n"/>
      <c r="C42" s="14">
        <f>$B$15*$B$17</f>
        <v/>
      </c>
      <c r="D42" s="14">
        <f>$B$15*$B$18</f>
        <v/>
      </c>
      <c r="E42" s="14">
        <f>$B$15*$B$18</f>
        <v/>
      </c>
      <c r="F42" s="14">
        <f>$B$15*$B$18</f>
        <v/>
      </c>
      <c r="G42" s="14">
        <f>$B$15*$B$18</f>
        <v/>
      </c>
    </row>
    <row r="43">
      <c r="A43" t="inlineStr">
        <is>
          <t>Tasa de retención</t>
        </is>
      </c>
      <c r="B43" s="2" t="n"/>
      <c r="C43" s="2">
        <f>B19</f>
        <v/>
      </c>
      <c r="D43" s="2">
        <f>C43</f>
        <v/>
      </c>
      <c r="E43" s="2">
        <f>D43</f>
        <v/>
      </c>
      <c r="F43" s="2">
        <f>E43</f>
        <v/>
      </c>
      <c r="G43" s="2">
        <f>F43</f>
        <v/>
      </c>
    </row>
    <row r="44">
      <c r="A44" t="inlineStr">
        <is>
          <t>Tasa de retención acumulada</t>
        </is>
      </c>
      <c r="B44" s="2" t="n"/>
      <c r="C44" s="2">
        <f>C43</f>
        <v/>
      </c>
      <c r="D44" s="2">
        <f>C44*D43</f>
        <v/>
      </c>
      <c r="E44" s="2">
        <f>D44*E43</f>
        <v/>
      </c>
      <c r="F44" s="2">
        <f>E44*F43</f>
        <v/>
      </c>
      <c r="G44" s="2">
        <f>F44*G43</f>
        <v/>
      </c>
    </row>
    <row r="45">
      <c r="A45" t="inlineStr">
        <is>
          <t>Margen bruto para ingresos recurrentes</t>
        </is>
      </c>
      <c r="B45" s="2" t="n"/>
      <c r="C45" s="2">
        <f>B16</f>
        <v/>
      </c>
      <c r="D45" s="2">
        <f>C45</f>
        <v/>
      </c>
      <c r="E45" s="2">
        <f>D45</f>
        <v/>
      </c>
      <c r="F45" s="2">
        <f>E45</f>
        <v/>
      </c>
      <c r="G45" s="2">
        <f>F45</f>
        <v/>
      </c>
    </row>
    <row r="46">
      <c r="A46" t="inlineStr">
        <is>
          <t>Beneficios de los ingresos recurrentes</t>
        </is>
      </c>
      <c r="B46" s="14">
        <f>B42*B44*B45</f>
        <v/>
      </c>
      <c r="C46" s="14">
        <f>C42*C44*C45</f>
        <v/>
      </c>
      <c r="D46" s="14">
        <f>D42*D44*D45</f>
        <v/>
      </c>
      <c r="E46" s="14">
        <f>E42*E44*E45</f>
        <v/>
      </c>
      <c r="F46" s="14">
        <f>F42*F44*F45</f>
        <v/>
      </c>
      <c r="G46" s="14">
        <f>G42*G44*G45</f>
        <v/>
      </c>
    </row>
    <row r="48">
      <c r="A48" s="7" t="inlineStr">
        <is>
          <t>Ingresos por ventas adicionales</t>
        </is>
      </c>
      <c r="B48" s="14" t="n"/>
      <c r="C48" s="14">
        <f>B22</f>
        <v/>
      </c>
      <c r="D48" s="14">
        <f>C48</f>
        <v/>
      </c>
      <c r="E48" s="14">
        <f>D48</f>
        <v/>
      </c>
      <c r="F48" s="14">
        <f>E48</f>
        <v/>
      </c>
      <c r="G48" s="14">
        <f>F48</f>
        <v/>
      </c>
    </row>
    <row r="49">
      <c r="A49" t="inlineStr">
        <is>
          <t>Tasa de retención</t>
        </is>
      </c>
      <c r="B49" s="2" t="n"/>
      <c r="C49" s="2">
        <f>B24</f>
        <v/>
      </c>
      <c r="D49" s="2">
        <f>C49</f>
        <v/>
      </c>
      <c r="E49" s="2">
        <f>D49</f>
        <v/>
      </c>
      <c r="F49" s="2">
        <f>E49</f>
        <v/>
      </c>
      <c r="G49" s="2">
        <f>F49</f>
        <v/>
      </c>
    </row>
    <row r="50">
      <c r="A50" t="inlineStr">
        <is>
          <t>Tasa de retención acumulada</t>
        </is>
      </c>
      <c r="B50" s="2" t="n"/>
      <c r="C50" s="2">
        <f>C49</f>
        <v/>
      </c>
      <c r="D50" s="2">
        <f>C50*D49</f>
        <v/>
      </c>
      <c r="E50" s="2">
        <f>D50*E49</f>
        <v/>
      </c>
      <c r="F50" s="2">
        <f>E50*F49</f>
        <v/>
      </c>
      <c r="G50" s="2">
        <f>F50*G49</f>
        <v/>
      </c>
    </row>
    <row r="51">
      <c r="A51" t="inlineStr">
        <is>
          <t>Margen bruto para ventas adicionales</t>
        </is>
      </c>
      <c r="B51" s="2" t="n"/>
      <c r="C51" s="2">
        <f>B23</f>
        <v/>
      </c>
      <c r="D51" s="2">
        <f>C51</f>
        <v/>
      </c>
      <c r="E51" s="2">
        <f>D51</f>
        <v/>
      </c>
      <c r="F51" s="2">
        <f>E51</f>
        <v/>
      </c>
      <c r="G51" s="2">
        <f>F51</f>
        <v/>
      </c>
    </row>
    <row r="52">
      <c r="A52" t="inlineStr">
        <is>
          <t>Obtenga ganancias con las ventas de complementos</t>
        </is>
      </c>
      <c r="B52" s="14">
        <f>B48*B50*B51</f>
        <v/>
      </c>
      <c r="C52" s="14">
        <f>C48*C50*C51</f>
        <v/>
      </c>
      <c r="D52" s="14">
        <f>D48*D50*D51</f>
        <v/>
      </c>
      <c r="E52" s="14">
        <f>E48*E50*E51</f>
        <v/>
      </c>
      <c r="F52" s="14">
        <f>F48*F50*F51</f>
        <v/>
      </c>
      <c r="G52" s="14">
        <f>G48*G50*G51</f>
        <v/>
      </c>
    </row>
    <row r="54">
      <c r="A54" s="7" t="inlineStr">
        <is>
          <t>Beneficios totales</t>
        </is>
      </c>
      <c r="B54" s="14">
        <f>B34+B40+B46+B52</f>
        <v/>
      </c>
      <c r="C54" s="14">
        <f>C34+C40+C46+C52</f>
        <v/>
      </c>
      <c r="D54" s="14">
        <f>D34+D40+D46+D52</f>
        <v/>
      </c>
      <c r="E54" s="14">
        <f>E34+E40+E46+E52</f>
        <v/>
      </c>
      <c r="F54" s="14">
        <f>F34+F40+F46+F52</f>
        <v/>
      </c>
      <c r="G54" s="14">
        <f>G34+G40+G46+G52</f>
        <v/>
      </c>
      <c r="H54" s="1" t="n"/>
    </row>
    <row r="55">
      <c r="B55" s="14" t="n"/>
      <c r="C55" s="14" t="n"/>
      <c r="D55" s="14" t="n"/>
      <c r="E55" s="14" t="n"/>
      <c r="F55" s="14" t="n"/>
      <c r="G55" s="14" t="n"/>
      <c r="H55" s="1" t="n"/>
    </row>
    <row r="56">
      <c r="A56" s="7" t="inlineStr">
        <is>
          <t>Tasa de costo de capital</t>
        </is>
      </c>
      <c r="B56" s="2">
        <f>B27</f>
        <v/>
      </c>
      <c r="C56" s="2">
        <f>B56</f>
        <v/>
      </c>
      <c r="D56" s="2">
        <f>C56</f>
        <v/>
      </c>
      <c r="E56" s="2">
        <f>D56</f>
        <v/>
      </c>
      <c r="F56" s="2">
        <f>E56</f>
        <v/>
      </c>
      <c r="G56" s="2">
        <f>F56</f>
        <v/>
      </c>
      <c r="H56" s="1" t="n"/>
    </row>
    <row r="57">
      <c r="A57" t="inlineStr">
        <is>
          <t>Factor de valor actual neto</t>
        </is>
      </c>
      <c r="B57" s="16">
        <f>(1/(1+$B$27))^B30</f>
        <v/>
      </c>
      <c r="C57" s="16">
        <f>(1/(1+$B$27))^C30</f>
        <v/>
      </c>
      <c r="D57" s="16">
        <f>(1/(1+$B$27))^D30</f>
        <v/>
      </c>
      <c r="E57" s="16">
        <f>(1/(1+$B$27))^E30</f>
        <v/>
      </c>
      <c r="F57" s="16">
        <f>(1/(1+$B$27))^F30</f>
        <v/>
      </c>
      <c r="G57" s="16">
        <f>(1/(1+$B$27))^G30</f>
        <v/>
      </c>
      <c r="H57" s="1" t="n"/>
    </row>
    <row r="58">
      <c r="A58" t="inlineStr">
        <is>
          <t>Valor actual de las ganancias</t>
        </is>
      </c>
      <c r="B58" s="14">
        <f>B54*B57</f>
        <v/>
      </c>
      <c r="C58" s="14">
        <f>C54*C57</f>
        <v/>
      </c>
      <c r="D58" s="14">
        <f>D54*D57</f>
        <v/>
      </c>
      <c r="E58" s="14">
        <f>E54*E57</f>
        <v/>
      </c>
      <c r="F58" s="14">
        <f>F54*F57</f>
        <v/>
      </c>
      <c r="G58" s="14">
        <f>G54*G57</f>
        <v/>
      </c>
      <c r="H58" s="1" t="n"/>
    </row>
    <row r="59" ht="19" customHeight="1">
      <c r="A59" s="21" t="inlineStr">
        <is>
          <t>LTV/Valor Actual Neto de las Ganancias</t>
        </is>
      </c>
      <c r="B59" s="17">
        <f>SUM(B58:G58)</f>
        <v/>
      </c>
      <c r="C59" s="14" t="n"/>
      <c r="D59" s="14" t="n"/>
      <c r="E59" s="14" t="n"/>
      <c r="F59" s="14" t="n"/>
      <c r="G59" s="14" t="n"/>
      <c r="H59" s="1" t="n"/>
    </row>
    <row r="60">
      <c r="B60" s="3" t="n"/>
    </row>
    <row r="61">
      <c r="A61" s="8" t="n"/>
      <c r="B61" s="9" t="n"/>
      <c r="C61" s="9" t="n"/>
      <c r="D61" s="9" t="n"/>
      <c r="E61" s="9" t="n"/>
      <c r="F61" s="9" t="n"/>
    </row>
    <row r="62">
      <c r="A62" s="8" t="inlineStr">
        <is>
          <t>Relación LTV/CAC</t>
        </is>
      </c>
      <c r="B62" s="9" t="n">
        <v>3</v>
      </c>
      <c r="C62" s="9" t="n">
        <v>4</v>
      </c>
      <c r="D62" s="9" t="n">
        <v>5</v>
      </c>
      <c r="E62" s="9" t="n">
        <v>6</v>
      </c>
      <c r="F62" s="9" t="n">
        <v>8</v>
      </c>
    </row>
    <row r="63">
      <c r="A63" s="8" t="inlineStr">
        <is>
          <t>CAC (Costo de Adquisición de Clientes)</t>
        </is>
      </c>
      <c r="B63" s="15">
        <f>$B$59/B62</f>
        <v/>
      </c>
      <c r="C63" s="15">
        <f>$B$59/C62</f>
        <v/>
      </c>
      <c r="D63" s="15">
        <f>$B$59/D62</f>
        <v/>
      </c>
      <c r="E63" s="15">
        <f>$B$59/E62</f>
        <v/>
      </c>
      <c r="F63" s="15">
        <f>$B$59/F62</f>
        <v/>
      </c>
    </row>
    <row r="75">
      <c r="B75" s="2" t="n"/>
    </row>
    <row r="76">
      <c r="B76" s="3" t="n"/>
    </row>
  </sheetData>
  <printOptions gridLines="1"/>
  <pageMargins left="0.7" right="0.7" top="0.75" bottom="0.75" header="0.3" footer="0.3"/>
  <pageSetup orientation="landscape" verticalDpi="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B20" sqref="B20"/>
    </sheetView>
  </sheetViews>
  <sheetFormatPr baseColWidth="10" defaultColWidth="9.1640625" defaultRowHeight="15"/>
  <cols>
    <col width="34.33203125" customWidth="1" min="1" max="1"/>
    <col width="12" customWidth="1" min="2" max="2"/>
    <col width="9.83203125" customWidth="1" min="3" max="3"/>
    <col width="9.5" customWidth="1" min="4" max="4"/>
    <col width="10.1640625" customWidth="1" min="5" max="6"/>
  </cols>
  <sheetData>
    <row r="1" ht="19" customHeight="1">
      <c r="A1" s="13" t="inlineStr">
        <is>
          <t>Ejemplo: ingresos recurrentes únicamente - suscripción mensual</t>
        </is>
      </c>
    </row>
    <row r="2" ht="19" customHeight="1">
      <c r="A2" s="13" t="inlineStr">
        <is>
          <t>Supuestos</t>
        </is>
      </c>
      <c r="B2" s="13" t="inlineStr">
        <is>
          <t>Entradas</t>
        </is>
      </c>
      <c r="D2" s="13" t="inlineStr">
        <is>
          <t>Notas</t>
        </is>
      </c>
    </row>
    <row r="3" ht="19" customHeight="1">
      <c r="A3" s="21" t="inlineStr">
        <is>
          <t>Venta por única vez</t>
        </is>
      </c>
      <c r="B3" s="13" t="n"/>
      <c r="D3" s="13" t="n"/>
    </row>
    <row r="4">
      <c r="A4" t="inlineStr">
        <is>
          <t>Venta inicial promedio</t>
        </is>
      </c>
      <c r="B4" s="4" t="n">
        <v>0</v>
      </c>
      <c r="D4" t="inlineStr">
        <is>
          <t>Este modelo supone que la compra inicial se realiza al comienzo del año 0.</t>
        </is>
      </c>
    </row>
    <row r="5">
      <c r="A5" t="inlineStr">
        <is>
          <t>Margen bruto - Venta inicial</t>
        </is>
      </c>
      <c r="B5" s="6" t="n">
        <v>0</v>
      </c>
      <c r="D5" t="inlineStr">
        <is>
          <t>Si no hay compra inicial, introduzca 0 $ para el valor medio de la venta inicial.</t>
        </is>
      </c>
    </row>
    <row r="6">
      <c r="A6" t="inlineStr">
        <is>
          <t>Tasa de compra del siguiente producto</t>
        </is>
      </c>
      <c r="B6" s="12" t="n">
        <v>0</v>
      </c>
    </row>
    <row r="7">
      <c r="A7" t="inlineStr">
        <is>
          <t>Año de compra del próximo producto</t>
        </is>
      </c>
      <c r="B7" s="10" t="n">
        <v>0</v>
      </c>
      <c r="D7" t="inlineStr">
        <is>
          <t>Si el producto se compra una o más veces al año, utilice la sección de Compras Periódicas a continuación.</t>
        </is>
      </c>
    </row>
    <row r="8">
      <c r="B8" s="1" t="n"/>
    </row>
    <row r="9" ht="16" customHeight="1">
      <c r="A9" s="21" t="inlineStr">
        <is>
          <t>Compras periódicas</t>
        </is>
      </c>
      <c r="B9" s="1" t="n"/>
      <c r="D9" t="inlineStr">
        <is>
          <t>El cliente compra una o más veces al año.</t>
        </is>
      </c>
    </row>
    <row r="10">
      <c r="A10" t="inlineStr">
        <is>
          <t>Ingresos anuales</t>
        </is>
      </c>
      <c r="B10" s="4" t="n">
        <v>0</v>
      </c>
      <c r="D10" t="inlineStr">
        <is>
          <t>Típico de muchas empresas</t>
        </is>
      </c>
    </row>
    <row r="11">
      <c r="A11" t="inlineStr">
        <is>
          <t>Margen bruto - Ingresos anuales</t>
        </is>
      </c>
      <c r="B11" s="6" t="n">
        <v>0</v>
      </c>
    </row>
    <row r="12">
      <c r="A12" t="inlineStr">
        <is>
          <t>Tasa de retención</t>
        </is>
      </c>
      <c r="B12" s="6" t="n">
        <v>0</v>
      </c>
    </row>
    <row r="13">
      <c r="B13" s="1" t="n"/>
    </row>
    <row r="14" ht="16" customHeight="1">
      <c r="A14" s="21" t="inlineStr">
        <is>
          <t>Ingresos recurrentes</t>
        </is>
      </c>
      <c r="B14" s="14" t="n"/>
      <c r="D14" t="inlineStr">
        <is>
          <t>El cliente paga de forma recurrente.</t>
        </is>
      </c>
    </row>
    <row r="15">
      <c r="A15" t="inlineStr">
        <is>
          <t>Ingresos recurrentes promedio</t>
        </is>
      </c>
      <c r="B15" s="4" t="n">
        <v>20</v>
      </c>
      <c r="D15" t="inlineStr">
        <is>
          <t>Ingresos por período de facturación</t>
        </is>
      </c>
    </row>
    <row r="16">
      <c r="A16" t="inlineStr">
        <is>
          <t>Margen bruto - Ingresos recurrentes</t>
        </is>
      </c>
      <c r="B16" s="6" t="n">
        <v>0.95</v>
      </c>
      <c r="D16" t="inlineStr">
        <is>
          <t>El cliente paga de forma recurrente.</t>
        </is>
      </c>
    </row>
    <row r="17">
      <c r="A17" t="inlineStr">
        <is>
          <t># meses de recurrencia en el Año 1</t>
        </is>
      </c>
      <c r="B17" s="5" t="n">
        <v>12</v>
      </c>
      <c r="D17" t="inlineStr">
        <is>
          <t>Podría ser una suscripción mensual.</t>
        </is>
      </c>
    </row>
    <row r="18">
      <c r="A18" t="inlineStr">
        <is>
          <t>meses de recurrencia en los años 2-5</t>
        </is>
      </c>
      <c r="B18" s="5" t="n">
        <v>12</v>
      </c>
      <c r="D18" t="inlineStr">
        <is>
          <t>Podría ser una caja de suscripción trimestral</t>
        </is>
      </c>
    </row>
    <row r="19">
      <c r="A19" t="inlineStr">
        <is>
          <t>Tasa de retención</t>
        </is>
      </c>
      <c r="B19" s="6" t="n">
        <v>0.85</v>
      </c>
    </row>
    <row r="20">
      <c r="B20" s="22" t="n"/>
    </row>
    <row r="21" ht="16" customHeight="1">
      <c r="A21" s="21" t="inlineStr">
        <is>
          <t>Ventas adicionales</t>
        </is>
      </c>
      <c r="D21" t="inlineStr">
        <is>
          <t>Cualquier otra venta que no se ajuste a las categorías anteriores.</t>
        </is>
      </c>
    </row>
    <row r="22">
      <c r="A22" t="inlineStr">
        <is>
          <t>Ventas anuales de complementos - Inicio del año 1</t>
        </is>
      </c>
      <c r="B22" s="4" t="n">
        <v>0</v>
      </c>
    </row>
    <row r="23">
      <c r="A23" t="inlineStr">
        <is>
          <t>Margen bruto - Ventas adicionales</t>
        </is>
      </c>
      <c r="B23" s="6" t="n">
        <v>0</v>
      </c>
    </row>
    <row r="24">
      <c r="A24" t="inlineStr">
        <is>
          <t>Tasa de retención</t>
        </is>
      </c>
      <c r="B24" s="6" t="n">
        <v>0</v>
      </c>
    </row>
    <row r="25">
      <c r="B25" s="22" t="n"/>
    </row>
    <row r="26" ht="16" customHeight="1">
      <c r="A26" s="21" t="inlineStr">
        <is>
          <t>Costo de capital</t>
        </is>
      </c>
      <c r="D26" t="inlineStr">
        <is>
          <t>Supongamos un 50% si se renuncia a la participación accionaria.</t>
        </is>
      </c>
    </row>
    <row r="27">
      <c r="A27" t="inlineStr">
        <is>
          <t>Costo de capital</t>
        </is>
      </c>
      <c r="B27" s="12" t="n">
        <v>0.5</v>
      </c>
      <c r="D27" t="inlineStr">
        <is>
          <t>Si pides dinero prestado, usa el 12%.</t>
        </is>
      </c>
    </row>
    <row r="28">
      <c r="B28" s="2" t="n"/>
    </row>
    <row r="29">
      <c r="B29" s="11" t="inlineStr">
        <is>
          <t>Día</t>
        </is>
      </c>
      <c r="C29" s="11" t="inlineStr">
        <is>
          <t>Año</t>
        </is>
      </c>
      <c r="D29" s="11" t="inlineStr">
        <is>
          <t>Año</t>
        </is>
      </c>
      <c r="E29" s="11" t="inlineStr">
        <is>
          <t>Año</t>
        </is>
      </c>
      <c r="F29" s="11" t="inlineStr">
        <is>
          <t>Año</t>
        </is>
      </c>
      <c r="G29" s="11" t="inlineStr">
        <is>
          <t>Año</t>
        </is>
      </c>
    </row>
    <row r="30" ht="19" customHeight="1">
      <c r="A30" s="13" t="inlineStr">
        <is>
          <t>Cálculo del LTV</t>
        </is>
      </c>
      <c r="B30" s="11" t="n">
        <v>0</v>
      </c>
      <c r="C30" s="11" t="n">
        <v>1</v>
      </c>
      <c r="D30" s="11" t="n">
        <v>2</v>
      </c>
      <c r="E30" s="11" t="n">
        <v>3</v>
      </c>
      <c r="F30" s="11" t="n">
        <v>4</v>
      </c>
      <c r="G30" s="11" t="n">
        <v>5</v>
      </c>
    </row>
    <row r="31">
      <c r="A31" s="7" t="inlineStr">
        <is>
          <t>Ingresos iniciales por ventas</t>
        </is>
      </c>
      <c r="B31" s="14">
        <f>B4</f>
        <v/>
      </c>
      <c r="C31" s="14">
        <f>IF(C30=$B$7,$B$4,0)</f>
        <v/>
      </c>
      <c r="D31" s="14">
        <f>IF(OR(D30=$B$7,D30=2*$B$7),$B$4,0)</f>
        <v/>
      </c>
      <c r="E31" s="14">
        <f>IF(OR(E30=$B$7,E30=2*$B$7),$B$4,0)</f>
        <v/>
      </c>
      <c r="F31" s="14">
        <f>IF(OR(F30=$B$7,F30=2*$B$7),$B$4,0)</f>
        <v/>
      </c>
      <c r="G31" s="14">
        <f>IF(OR(G30=$B$7,G30=2*$B$7),$B$4,0)</f>
        <v/>
      </c>
    </row>
    <row r="32">
      <c r="A32" t="inlineStr">
        <is>
          <t>Margen bruto - Venta inicial</t>
        </is>
      </c>
      <c r="B32" s="2">
        <f>B5</f>
        <v/>
      </c>
      <c r="C32" s="2">
        <f>B32</f>
        <v/>
      </c>
      <c r="D32" s="2">
        <f>C32</f>
        <v/>
      </c>
      <c r="E32" s="2">
        <f>D32</f>
        <v/>
      </c>
      <c r="F32" s="2">
        <f>E32</f>
        <v/>
      </c>
      <c r="G32" s="2">
        <f>F32</f>
        <v/>
      </c>
    </row>
    <row r="33">
      <c r="A33" t="inlineStr">
        <is>
          <t>Tasa de recompra</t>
        </is>
      </c>
      <c r="B33" s="2" t="n"/>
      <c r="C33" s="2">
        <f>B6</f>
        <v/>
      </c>
      <c r="D33" s="2">
        <f>C33</f>
        <v/>
      </c>
      <c r="E33" s="2">
        <f>D33</f>
        <v/>
      </c>
      <c r="F33" s="2">
        <f>E33</f>
        <v/>
      </c>
      <c r="G33" s="2">
        <f>F33</f>
        <v/>
      </c>
    </row>
    <row r="34">
      <c r="A34" t="inlineStr">
        <is>
          <t>Ganancia de la venta inicial</t>
        </is>
      </c>
      <c r="B34" s="14">
        <f>B31*B32</f>
        <v/>
      </c>
      <c r="C34" s="14">
        <f>C31*C32*C33</f>
        <v/>
      </c>
      <c r="D34" s="14">
        <f>D31*D32*D33</f>
        <v/>
      </c>
      <c r="E34" s="14">
        <f>E31*E32*E33</f>
        <v/>
      </c>
      <c r="F34" s="14">
        <f>F31*F32*F33</f>
        <v/>
      </c>
      <c r="G34" s="14">
        <f>G31*G32*G33</f>
        <v/>
      </c>
    </row>
    <row r="35">
      <c r="B35" s="14" t="n"/>
      <c r="C35" s="14" t="n"/>
      <c r="D35" s="14" t="n"/>
      <c r="E35" s="14" t="n"/>
      <c r="F35" s="14" t="n"/>
      <c r="G35" s="14" t="n"/>
    </row>
    <row r="36">
      <c r="A36" s="7" t="inlineStr">
        <is>
          <t>Compras periódicas - Ingresos anuales</t>
        </is>
      </c>
      <c r="B36" s="14" t="n"/>
      <c r="C36" s="14">
        <f>$B$10</f>
        <v/>
      </c>
      <c r="D36" s="14">
        <f>$B$10</f>
        <v/>
      </c>
      <c r="E36" s="14">
        <f>$B$10</f>
        <v/>
      </c>
      <c r="F36" s="14">
        <f>$B$10</f>
        <v/>
      </c>
      <c r="G36" s="14">
        <f>$B$10</f>
        <v/>
      </c>
    </row>
    <row r="37">
      <c r="A37" t="inlineStr">
        <is>
          <t>Tasa de retención</t>
        </is>
      </c>
      <c r="B37" s="2" t="n"/>
      <c r="C37" s="2">
        <f>$B$12</f>
        <v/>
      </c>
      <c r="D37" s="2">
        <f>C37</f>
        <v/>
      </c>
      <c r="E37" s="2">
        <f>D37</f>
        <v/>
      </c>
      <c r="F37" s="2">
        <f>E37</f>
        <v/>
      </c>
      <c r="G37" s="2">
        <f>F37</f>
        <v/>
      </c>
    </row>
    <row r="38">
      <c r="A38" t="inlineStr">
        <is>
          <t>Tasa de retención acumulada</t>
        </is>
      </c>
      <c r="B38" s="2" t="n"/>
      <c r="C38" s="2">
        <f>C37</f>
        <v/>
      </c>
      <c r="D38" s="2">
        <f>C38*D37</f>
        <v/>
      </c>
      <c r="E38" s="2">
        <f>D38*E37</f>
        <v/>
      </c>
      <c r="F38" s="2">
        <f>E38*F37</f>
        <v/>
      </c>
      <c r="G38" s="2">
        <f>F38*G37</f>
        <v/>
      </c>
    </row>
    <row r="39">
      <c r="A39" t="inlineStr">
        <is>
          <t>Margen bruto para ingresos anuales</t>
        </is>
      </c>
      <c r="B39" s="2" t="n"/>
      <c r="C39" s="2">
        <f>$B$11</f>
        <v/>
      </c>
      <c r="D39" s="2">
        <f>C39</f>
        <v/>
      </c>
      <c r="E39" s="2">
        <f>D39</f>
        <v/>
      </c>
      <c r="F39" s="2">
        <f>E39</f>
        <v/>
      </c>
      <c r="G39" s="2">
        <f>F39</f>
        <v/>
      </c>
    </row>
    <row r="40">
      <c r="A40" t="inlineStr">
        <is>
          <t>Beneficios derivados de los ingresos anuales</t>
        </is>
      </c>
      <c r="B40" s="14">
        <f>B36*B38*B39</f>
        <v/>
      </c>
      <c r="C40" s="14">
        <f>C36*C38*C39</f>
        <v/>
      </c>
      <c r="D40" s="14">
        <f>D36*D38*D39</f>
        <v/>
      </c>
      <c r="E40" s="14">
        <f>E36*E38*E39</f>
        <v/>
      </c>
      <c r="F40" s="14">
        <f>F36*F38*F39</f>
        <v/>
      </c>
      <c r="G40" s="14">
        <f>G36*G38*G39</f>
        <v/>
      </c>
    </row>
    <row r="42">
      <c r="A42" s="7" t="inlineStr">
        <is>
          <t>Ingresos recurrentes</t>
        </is>
      </c>
      <c r="B42" s="14" t="n"/>
      <c r="C42" s="14">
        <f>$B$15*$B$17</f>
        <v/>
      </c>
      <c r="D42" s="14">
        <f>$B$15*$B$18</f>
        <v/>
      </c>
      <c r="E42" s="14">
        <f>$B$15*$B$18</f>
        <v/>
      </c>
      <c r="F42" s="14">
        <f>$B$15*$B$18</f>
        <v/>
      </c>
      <c r="G42" s="14">
        <f>$B$15*$B$18</f>
        <v/>
      </c>
    </row>
    <row r="43">
      <c r="A43" t="inlineStr">
        <is>
          <t>Tasa de retención</t>
        </is>
      </c>
      <c r="B43" s="2" t="n"/>
      <c r="C43" s="2">
        <f>B19</f>
        <v/>
      </c>
      <c r="D43" s="2">
        <f>C43</f>
        <v/>
      </c>
      <c r="E43" s="2">
        <f>D43</f>
        <v/>
      </c>
      <c r="F43" s="2">
        <f>E43</f>
        <v/>
      </c>
      <c r="G43" s="2">
        <f>F43</f>
        <v/>
      </c>
    </row>
    <row r="44">
      <c r="A44" t="inlineStr">
        <is>
          <t>Tasa de retención acumulada</t>
        </is>
      </c>
      <c r="B44" s="2" t="n"/>
      <c r="C44" s="2">
        <f>C43</f>
        <v/>
      </c>
      <c r="D44" s="2">
        <f>C44*D43</f>
        <v/>
      </c>
      <c r="E44" s="2">
        <f>D44*E43</f>
        <v/>
      </c>
      <c r="F44" s="2">
        <f>E44*F43</f>
        <v/>
      </c>
      <c r="G44" s="2">
        <f>F44*G43</f>
        <v/>
      </c>
    </row>
    <row r="45">
      <c r="A45" t="inlineStr">
        <is>
          <t>Margen bruto para ingresos recurrentes</t>
        </is>
      </c>
      <c r="B45" s="2" t="n"/>
      <c r="C45" s="2">
        <f>B16</f>
        <v/>
      </c>
      <c r="D45" s="2">
        <f>C45</f>
        <v/>
      </c>
      <c r="E45" s="2">
        <f>D45</f>
        <v/>
      </c>
      <c r="F45" s="2">
        <f>E45</f>
        <v/>
      </c>
      <c r="G45" s="2">
        <f>F45</f>
        <v/>
      </c>
    </row>
    <row r="46">
      <c r="A46" t="inlineStr">
        <is>
          <t>Beneficios de los ingresos recurrentes</t>
        </is>
      </c>
      <c r="B46" s="14">
        <f>B42*B44*B45</f>
        <v/>
      </c>
      <c r="C46" s="14">
        <f>C42*C44*C45</f>
        <v/>
      </c>
      <c r="D46" s="14">
        <f>D42*D44*D45</f>
        <v/>
      </c>
      <c r="E46" s="14">
        <f>E42*E44*E45</f>
        <v/>
      </c>
      <c r="F46" s="14">
        <f>F42*F44*F45</f>
        <v/>
      </c>
      <c r="G46" s="14">
        <f>G42*G44*G45</f>
        <v/>
      </c>
    </row>
    <row r="48" hidden="1">
      <c r="A48" s="7" t="inlineStr">
        <is>
          <t>Ingresos por ventas adicionales</t>
        </is>
      </c>
      <c r="B48" s="14" t="n"/>
      <c r="C48" s="14">
        <f>B22</f>
        <v/>
      </c>
      <c r="D48" s="14">
        <f>C48</f>
        <v/>
      </c>
      <c r="E48" s="14">
        <f>D48</f>
        <v/>
      </c>
      <c r="F48" s="14">
        <f>E48</f>
        <v/>
      </c>
      <c r="G48" s="14">
        <f>F48</f>
        <v/>
      </c>
    </row>
    <row r="49" hidden="1">
      <c r="A49" t="inlineStr">
        <is>
          <t>Tasa de retención</t>
        </is>
      </c>
      <c r="B49" s="2" t="n"/>
      <c r="C49" s="2">
        <f>B24</f>
        <v/>
      </c>
      <c r="D49" s="2">
        <f>C49</f>
        <v/>
      </c>
      <c r="E49" s="2">
        <f>D49</f>
        <v/>
      </c>
      <c r="F49" s="2">
        <f>E49</f>
        <v/>
      </c>
      <c r="G49" s="2">
        <f>F49</f>
        <v/>
      </c>
    </row>
    <row r="50" hidden="1">
      <c r="A50" t="inlineStr">
        <is>
          <t>Tasa de retención acumulada</t>
        </is>
      </c>
      <c r="B50" s="2" t="n"/>
      <c r="C50" s="2">
        <f>C49</f>
        <v/>
      </c>
      <c r="D50" s="2">
        <f>C50*D49</f>
        <v/>
      </c>
      <c r="E50" s="2">
        <f>D50*E49</f>
        <v/>
      </c>
      <c r="F50" s="2">
        <f>E50*F49</f>
        <v/>
      </c>
      <c r="G50" s="2">
        <f>F50*G49</f>
        <v/>
      </c>
    </row>
    <row r="51" hidden="1">
      <c r="A51" t="inlineStr">
        <is>
          <t>Margen bruto para ventas adicionales</t>
        </is>
      </c>
      <c r="B51" s="2" t="n"/>
      <c r="C51" s="2">
        <f>B23</f>
        <v/>
      </c>
      <c r="D51" s="2">
        <f>C51</f>
        <v/>
      </c>
      <c r="E51" s="2">
        <f>D51</f>
        <v/>
      </c>
      <c r="F51" s="2">
        <f>E51</f>
        <v/>
      </c>
      <c r="G51" s="2">
        <f>F51</f>
        <v/>
      </c>
    </row>
    <row r="52" hidden="1">
      <c r="A52" t="inlineStr">
        <is>
          <t>Obtenga ganancias con las ventas de complementos</t>
        </is>
      </c>
      <c r="B52" s="14">
        <f>B48*B50*B51</f>
        <v/>
      </c>
      <c r="C52" s="14">
        <f>C48*C50*C51</f>
        <v/>
      </c>
      <c r="D52" s="14">
        <f>D48*D50*D51</f>
        <v/>
      </c>
      <c r="E52" s="14">
        <f>E48*E50*E51</f>
        <v/>
      </c>
      <c r="F52" s="14">
        <f>F48*F50*F51</f>
        <v/>
      </c>
      <c r="G52" s="14">
        <f>G48*G50*G51</f>
        <v/>
      </c>
    </row>
    <row r="53" hidden="1"/>
    <row r="54">
      <c r="A54" s="7" t="inlineStr">
        <is>
          <t>Beneficios totales</t>
        </is>
      </c>
      <c r="B54" s="14">
        <f>B34+B40+B46+B52</f>
        <v/>
      </c>
      <c r="C54" s="14">
        <f>C34+C40+C46+C52</f>
        <v/>
      </c>
      <c r="D54" s="14">
        <f>D34+D40+D46+D52</f>
        <v/>
      </c>
      <c r="E54" s="14">
        <f>E34+E40+E46+E52</f>
        <v/>
      </c>
      <c r="F54" s="14">
        <f>F34+F40+F46+F52</f>
        <v/>
      </c>
      <c r="G54" s="14">
        <f>G34+G40+G46+G52</f>
        <v/>
      </c>
      <c r="H54" s="1" t="n"/>
    </row>
    <row r="55">
      <c r="B55" s="14" t="n"/>
      <c r="C55" s="14" t="n"/>
      <c r="D55" s="14" t="n"/>
      <c r="E55" s="14" t="n"/>
      <c r="F55" s="14" t="n"/>
      <c r="G55" s="14" t="n"/>
      <c r="H55" s="1" t="n"/>
    </row>
    <row r="56">
      <c r="A56" s="7" t="inlineStr">
        <is>
          <t>Tasa de costo de capital</t>
        </is>
      </c>
      <c r="B56" s="2">
        <f>B27</f>
        <v/>
      </c>
      <c r="C56" s="2">
        <f>B56</f>
        <v/>
      </c>
      <c r="D56" s="2">
        <f>C56</f>
        <v/>
      </c>
      <c r="E56" s="2">
        <f>D56</f>
        <v/>
      </c>
      <c r="F56" s="2">
        <f>E56</f>
        <v/>
      </c>
      <c r="G56" s="2">
        <f>F56</f>
        <v/>
      </c>
      <c r="H56" s="1" t="n"/>
    </row>
    <row r="57">
      <c r="A57" t="inlineStr">
        <is>
          <t>Factor de valor actual neto</t>
        </is>
      </c>
      <c r="B57" s="16">
        <f>(1/(1+$B$27))^B30</f>
        <v/>
      </c>
      <c r="C57" s="16">
        <f>(1/(1+$B$27))^C30</f>
        <v/>
      </c>
      <c r="D57" s="16">
        <f>(1/(1+$B$27))^D30</f>
        <v/>
      </c>
      <c r="E57" s="16">
        <f>(1/(1+$B$27))^E30</f>
        <v/>
      </c>
      <c r="F57" s="16">
        <f>(1/(1+$B$27))^F30</f>
        <v/>
      </c>
      <c r="G57" s="16">
        <f>(1/(1+$B$27))^G30</f>
        <v/>
      </c>
      <c r="H57" s="1" t="n"/>
    </row>
    <row r="58">
      <c r="A58" t="inlineStr">
        <is>
          <t>Valor actual de las ganancias</t>
        </is>
      </c>
      <c r="B58" s="14">
        <f>B54*B57</f>
        <v/>
      </c>
      <c r="C58" s="14">
        <f>C54*C57</f>
        <v/>
      </c>
      <c r="D58" s="14">
        <f>D54*D57</f>
        <v/>
      </c>
      <c r="E58" s="14">
        <f>E54*E57</f>
        <v/>
      </c>
      <c r="F58" s="14">
        <f>F54*F57</f>
        <v/>
      </c>
      <c r="G58" s="14">
        <f>G54*G57</f>
        <v/>
      </c>
      <c r="H58" s="1" t="n"/>
    </row>
    <row r="59" ht="19" customHeight="1">
      <c r="A59" s="21" t="inlineStr">
        <is>
          <t>LTV/Valor Actual Neto de las Ganancias</t>
        </is>
      </c>
      <c r="B59" s="17">
        <f>SUM(B58:G58)</f>
        <v/>
      </c>
      <c r="C59" s="14" t="n"/>
      <c r="D59" s="14" t="n"/>
      <c r="E59" s="14" t="n"/>
      <c r="F59" s="14" t="n"/>
      <c r="G59" s="14" t="n"/>
      <c r="H59" s="1" t="n"/>
    </row>
    <row r="60">
      <c r="B60" s="3" t="n"/>
    </row>
    <row r="61">
      <c r="A61" s="8" t="n"/>
      <c r="B61" s="9" t="n"/>
      <c r="C61" s="9" t="n"/>
      <c r="D61" s="9" t="n"/>
      <c r="E61" s="9" t="n"/>
      <c r="F61" s="9" t="n"/>
    </row>
    <row r="62">
      <c r="A62" s="8" t="inlineStr">
        <is>
          <t>Relación LTV/CAC</t>
        </is>
      </c>
      <c r="B62" s="9" t="n">
        <v>3</v>
      </c>
      <c r="C62" s="9" t="n">
        <v>4</v>
      </c>
      <c r="D62" s="9" t="n">
        <v>5</v>
      </c>
      <c r="E62" s="9" t="n">
        <v>6</v>
      </c>
      <c r="F62" s="9" t="n">
        <v>8</v>
      </c>
    </row>
    <row r="63">
      <c r="A63" s="8" t="inlineStr">
        <is>
          <t>CAC (Costo de Adquisición de Clientes)</t>
        </is>
      </c>
      <c r="B63" s="15">
        <f>$B$59/B62</f>
        <v/>
      </c>
      <c r="C63" s="15">
        <f>$B$59/C62</f>
        <v/>
      </c>
      <c r="D63" s="15">
        <f>$B$59/D62</f>
        <v/>
      </c>
      <c r="E63" s="15">
        <f>$B$59/E62</f>
        <v/>
      </c>
      <c r="F63" s="15">
        <f>$B$59/F62</f>
        <v/>
      </c>
    </row>
    <row r="75">
      <c r="B75" s="2" t="n"/>
    </row>
    <row r="76">
      <c r="B76" s="3" t="n"/>
    </row>
  </sheetData>
  <printOptions gridLines="1"/>
  <pageMargins left="0.7" right="0.7" top="0.75" bottom="0.75" header="0.3" footer="0.3"/>
  <pageSetup orientation="landscape" verticalDpi="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30" topLeftCell="B31" activePane="bottomRight" state="frozen"/>
      <selection pane="topRight" activeCell="B1" sqref="B1"/>
      <selection pane="bottomLeft" activeCell="A10" sqref="A10"/>
      <selection pane="bottomRight" activeCell="A2" sqref="A2"/>
    </sheetView>
  </sheetViews>
  <sheetFormatPr baseColWidth="10" defaultColWidth="9.1640625" defaultRowHeight="15"/>
  <cols>
    <col width="34.33203125" customWidth="1" min="1" max="1"/>
    <col width="12" customWidth="1" min="2" max="2"/>
    <col width="9.83203125" customWidth="1" min="3" max="3"/>
    <col width="9.5" customWidth="1" min="4" max="4"/>
    <col width="10.1640625" customWidth="1" min="5" max="6"/>
  </cols>
  <sheetData>
    <row r="1" ht="19" customHeight="1">
      <c r="A1" s="13" t="inlineStr">
        <is>
          <t>Ejemplo: venta única e ingresos recurrentes mensuales.</t>
        </is>
      </c>
    </row>
    <row r="2" ht="19" customHeight="1">
      <c r="A2" s="13" t="inlineStr">
        <is>
          <t>Supuestos</t>
        </is>
      </c>
      <c r="B2" s="13" t="inlineStr">
        <is>
          <t>Entradas</t>
        </is>
      </c>
      <c r="D2" s="13" t="inlineStr">
        <is>
          <t>Notas</t>
        </is>
      </c>
    </row>
    <row r="3" ht="19" customHeight="1">
      <c r="A3" s="21" t="inlineStr">
        <is>
          <t>Venta por única vez</t>
        </is>
      </c>
      <c r="B3" s="13" t="n"/>
      <c r="D3" s="13" t="n"/>
    </row>
    <row r="4">
      <c r="A4" t="inlineStr">
        <is>
          <t>Venta inicial promedio</t>
        </is>
      </c>
      <c r="B4" s="4" t="n">
        <v>10000</v>
      </c>
      <c r="D4" t="inlineStr">
        <is>
          <t>Este modelo supone que la compra inicial se realiza al comienzo del año 0.</t>
        </is>
      </c>
    </row>
    <row r="5">
      <c r="A5" t="inlineStr">
        <is>
          <t>Margen bruto - Venta inicial</t>
        </is>
      </c>
      <c r="B5" s="6" t="n">
        <v>0.65</v>
      </c>
      <c r="D5" t="inlineStr">
        <is>
          <t>Si no hay compra inicial, introduzca 0 $ para el valor medio de la venta inicial.</t>
        </is>
      </c>
    </row>
    <row r="6">
      <c r="A6" t="inlineStr">
        <is>
          <t>Tasa de compra del siguiente producto</t>
        </is>
      </c>
      <c r="B6" s="12" t="n">
        <v>0.75</v>
      </c>
    </row>
    <row r="7">
      <c r="A7" t="inlineStr">
        <is>
          <t>Año de compra del próximo producto</t>
        </is>
      </c>
      <c r="B7" s="10" t="n">
        <v>5</v>
      </c>
      <c r="D7" t="inlineStr">
        <is>
          <t>Si el producto se compra una o más veces al año, utilice la sección de Compras Periódicas a continuación.</t>
        </is>
      </c>
    </row>
    <row r="8">
      <c r="B8" s="1" t="n"/>
    </row>
    <row r="9" ht="16" customHeight="1">
      <c r="A9" s="21" t="inlineStr">
        <is>
          <t>Compras periódicas</t>
        </is>
      </c>
      <c r="B9" s="1" t="n"/>
      <c r="D9" t="inlineStr">
        <is>
          <t>El cliente compra una o más veces al año.</t>
        </is>
      </c>
    </row>
    <row r="10">
      <c r="A10" t="inlineStr">
        <is>
          <t>Ingresos anuales</t>
        </is>
      </c>
      <c r="B10" s="4" t="n">
        <v>0</v>
      </c>
      <c r="D10" t="inlineStr">
        <is>
          <t>Típico de muchas empresas</t>
        </is>
      </c>
    </row>
    <row r="11">
      <c r="A11" t="inlineStr">
        <is>
          <t>Margen bruto - Ingresos anuales</t>
        </is>
      </c>
      <c r="B11" s="6" t="n">
        <v>0</v>
      </c>
    </row>
    <row r="12">
      <c r="A12" t="inlineStr">
        <is>
          <t>Tasa de retención</t>
        </is>
      </c>
      <c r="B12" s="6" t="n">
        <v>0</v>
      </c>
    </row>
    <row r="13">
      <c r="B13" s="1" t="n"/>
    </row>
    <row r="14" ht="16" customHeight="1">
      <c r="A14" s="21" t="inlineStr">
        <is>
          <t>Ingresos recurrentes</t>
        </is>
      </c>
      <c r="B14" s="14" t="n"/>
      <c r="D14" t="inlineStr">
        <is>
          <t>El cliente paga de forma recurrente.</t>
        </is>
      </c>
    </row>
    <row r="15">
      <c r="A15" t="inlineStr">
        <is>
          <t>Ingresos recurrentes promedio</t>
        </is>
      </c>
      <c r="B15" s="4" t="n">
        <v>125</v>
      </c>
      <c r="D15" t="inlineStr">
        <is>
          <t>Ingresos por período de facturación</t>
        </is>
      </c>
    </row>
    <row r="16">
      <c r="A16" t="inlineStr">
        <is>
          <t>Margen bruto - Ingresos recurrentes</t>
        </is>
      </c>
      <c r="B16" s="6" t="n">
        <v>0.85</v>
      </c>
      <c r="D16" t="inlineStr">
        <is>
          <t>El cliente paga de forma recurrente.</t>
        </is>
      </c>
    </row>
    <row r="17">
      <c r="A17" t="inlineStr">
        <is>
          <t># meses de recurrencia en el Año 1</t>
        </is>
      </c>
      <c r="B17" s="5" t="n">
        <v>6</v>
      </c>
      <c r="D17" t="inlineStr">
        <is>
          <t>Podría ser una suscripción mensual.</t>
        </is>
      </c>
    </row>
    <row r="18">
      <c r="A18" t="inlineStr">
        <is>
          <t>meses de recurrencia en los años 2-5</t>
        </is>
      </c>
      <c r="B18" s="5" t="n">
        <v>12</v>
      </c>
      <c r="D18" t="inlineStr">
        <is>
          <t>Podría ser una caja de suscripción trimestral</t>
        </is>
      </c>
    </row>
    <row r="19">
      <c r="A19" t="inlineStr">
        <is>
          <t>Tasa de retención</t>
        </is>
      </c>
      <c r="B19" s="6" t="n">
        <v>0.9</v>
      </c>
    </row>
    <row r="20">
      <c r="B20" s="22" t="n"/>
    </row>
    <row r="21" ht="16" customHeight="1">
      <c r="A21" s="21" t="inlineStr">
        <is>
          <t>Ventas adicionales</t>
        </is>
      </c>
      <c r="D21" t="inlineStr">
        <is>
          <t>Cualquier otra venta que no se ajuste a las categorías anteriores.</t>
        </is>
      </c>
    </row>
    <row r="22">
      <c r="A22" t="inlineStr">
        <is>
          <t>Ventas anuales de complementos - Inicio del año 1</t>
        </is>
      </c>
      <c r="B22" s="4" t="n">
        <v>0</v>
      </c>
    </row>
    <row r="23">
      <c r="A23" t="inlineStr">
        <is>
          <t>Margen bruto - Ventas adicionales</t>
        </is>
      </c>
      <c r="B23" s="6" t="n">
        <v>0</v>
      </c>
    </row>
    <row r="24">
      <c r="A24" t="inlineStr">
        <is>
          <t>Tasa de retención</t>
        </is>
      </c>
      <c r="B24" s="6" t="n">
        <v>0</v>
      </c>
    </row>
    <row r="25">
      <c r="B25" s="22" t="n"/>
    </row>
    <row r="26" ht="16" customHeight="1">
      <c r="A26" s="21" t="inlineStr">
        <is>
          <t>Costo de capital</t>
        </is>
      </c>
      <c r="D26" t="inlineStr">
        <is>
          <t>Supongamos un 50% si se renuncia a la participación accionaria.</t>
        </is>
      </c>
    </row>
    <row r="27">
      <c r="A27" t="inlineStr">
        <is>
          <t>Costo de capital</t>
        </is>
      </c>
      <c r="B27" s="12" t="n">
        <v>0.5</v>
      </c>
      <c r="D27" t="inlineStr">
        <is>
          <t>Si pides dinero prestado, usa el 12%.</t>
        </is>
      </c>
    </row>
    <row r="28">
      <c r="B28" s="2" t="n"/>
    </row>
    <row r="29">
      <c r="B29" s="11" t="inlineStr">
        <is>
          <t>Día</t>
        </is>
      </c>
      <c r="C29" s="11" t="inlineStr">
        <is>
          <t>Año</t>
        </is>
      </c>
      <c r="D29" s="11" t="inlineStr">
        <is>
          <t>Año</t>
        </is>
      </c>
      <c r="E29" s="11" t="inlineStr">
        <is>
          <t>Año</t>
        </is>
      </c>
      <c r="F29" s="11" t="inlineStr">
        <is>
          <t>Año</t>
        </is>
      </c>
      <c r="G29" s="11" t="inlineStr">
        <is>
          <t>Año</t>
        </is>
      </c>
    </row>
    <row r="30" ht="19" customHeight="1">
      <c r="A30" s="13" t="inlineStr">
        <is>
          <t>Cálculo del LTV</t>
        </is>
      </c>
      <c r="B30" s="11" t="n">
        <v>0</v>
      </c>
      <c r="C30" s="11" t="n">
        <v>1</v>
      </c>
      <c r="D30" s="11" t="n">
        <v>2</v>
      </c>
      <c r="E30" s="11" t="n">
        <v>3</v>
      </c>
      <c r="F30" s="11" t="n">
        <v>4</v>
      </c>
      <c r="G30" s="11" t="n">
        <v>5</v>
      </c>
    </row>
    <row r="31">
      <c r="A31" s="7" t="inlineStr">
        <is>
          <t>Ingresos iniciales por ventas</t>
        </is>
      </c>
      <c r="B31" s="14">
        <f>B4</f>
        <v/>
      </c>
      <c r="C31" s="14">
        <f>IF(C30=$B$7,$B$4,0)</f>
        <v/>
      </c>
      <c r="D31" s="14">
        <f>IF(OR(D30=$B$7,D30=2*$B$7),$B$4,0)</f>
        <v/>
      </c>
      <c r="E31" s="14">
        <f>IF(OR(E30=$B$7,E30=2*$B$7),$B$4,0)</f>
        <v/>
      </c>
      <c r="F31" s="14">
        <f>IF(OR(F30=$B$7,F30=2*$B$7),$B$4,0)</f>
        <v/>
      </c>
      <c r="G31" s="14">
        <f>IF(OR(G30=$B$7,G30=2*$B$7),$B$4,0)</f>
        <v/>
      </c>
    </row>
    <row r="32">
      <c r="A32" t="inlineStr">
        <is>
          <t>Margen bruto - Venta inicial</t>
        </is>
      </c>
      <c r="B32" s="2">
        <f>B5</f>
        <v/>
      </c>
      <c r="C32" s="2">
        <f>B32</f>
        <v/>
      </c>
      <c r="D32" s="2">
        <f>C32</f>
        <v/>
      </c>
      <c r="E32" s="2">
        <f>D32</f>
        <v/>
      </c>
      <c r="F32" s="2">
        <f>E32</f>
        <v/>
      </c>
      <c r="G32" s="2">
        <f>F32</f>
        <v/>
      </c>
    </row>
    <row r="33">
      <c r="A33" t="inlineStr">
        <is>
          <t>Tasa de recompra</t>
        </is>
      </c>
      <c r="B33" s="2" t="n"/>
      <c r="C33" s="2">
        <f>B6</f>
        <v/>
      </c>
      <c r="D33" s="2">
        <f>C33</f>
        <v/>
      </c>
      <c r="E33" s="2">
        <f>D33</f>
        <v/>
      </c>
      <c r="F33" s="2">
        <f>E33</f>
        <v/>
      </c>
      <c r="G33" s="2">
        <f>F33</f>
        <v/>
      </c>
    </row>
    <row r="34">
      <c r="A34" t="inlineStr">
        <is>
          <t>Ganancia de la venta inicial</t>
        </is>
      </c>
      <c r="B34" s="14">
        <f>B31*B32</f>
        <v/>
      </c>
      <c r="C34" s="14">
        <f>C31*C32*C33</f>
        <v/>
      </c>
      <c r="D34" s="14">
        <f>D31*D32*D33</f>
        <v/>
      </c>
      <c r="E34" s="14">
        <f>E31*E32*E33</f>
        <v/>
      </c>
      <c r="F34" s="14">
        <f>F31*F32*F33</f>
        <v/>
      </c>
      <c r="G34" s="14">
        <f>G31*G32*G33</f>
        <v/>
      </c>
    </row>
    <row r="35">
      <c r="B35" s="14" t="n"/>
      <c r="C35" s="14" t="n"/>
      <c r="D35" s="14" t="n"/>
      <c r="E35" s="14" t="n"/>
      <c r="F35" s="14" t="n"/>
      <c r="G35" s="14" t="n"/>
    </row>
    <row r="36">
      <c r="A36" s="7" t="inlineStr">
        <is>
          <t>Compras periódicas - Ingresos anuales</t>
        </is>
      </c>
      <c r="B36" s="14" t="n"/>
      <c r="C36" s="14">
        <f>$B$10</f>
        <v/>
      </c>
      <c r="D36" s="14">
        <f>$B$10</f>
        <v/>
      </c>
      <c r="E36" s="14">
        <f>$B$10</f>
        <v/>
      </c>
      <c r="F36" s="14">
        <f>$B$10</f>
        <v/>
      </c>
      <c r="G36" s="14">
        <f>$B$10</f>
        <v/>
      </c>
    </row>
    <row r="37">
      <c r="A37" t="inlineStr">
        <is>
          <t>Tasa de retención</t>
        </is>
      </c>
      <c r="B37" s="2" t="n"/>
      <c r="C37" s="2">
        <f>$B$12</f>
        <v/>
      </c>
      <c r="D37" s="2">
        <f>C37</f>
        <v/>
      </c>
      <c r="E37" s="2">
        <f>D37</f>
        <v/>
      </c>
      <c r="F37" s="2">
        <f>E37</f>
        <v/>
      </c>
      <c r="G37" s="2">
        <f>F37</f>
        <v/>
      </c>
    </row>
    <row r="38">
      <c r="A38" t="inlineStr">
        <is>
          <t>Tasa de retención acumulada</t>
        </is>
      </c>
      <c r="B38" s="2" t="n"/>
      <c r="C38" s="2">
        <f>C37</f>
        <v/>
      </c>
      <c r="D38" s="2">
        <f>C38*D37</f>
        <v/>
      </c>
      <c r="E38" s="2">
        <f>D38*E37</f>
        <v/>
      </c>
      <c r="F38" s="2">
        <f>E38*F37</f>
        <v/>
      </c>
      <c r="G38" s="2">
        <f>F38*G37</f>
        <v/>
      </c>
    </row>
    <row r="39">
      <c r="A39" t="inlineStr">
        <is>
          <t>Margen bruto para ingresos anuales</t>
        </is>
      </c>
      <c r="B39" s="2" t="n"/>
      <c r="C39" s="2">
        <f>$B$11</f>
        <v/>
      </c>
      <c r="D39" s="2">
        <f>C39</f>
        <v/>
      </c>
      <c r="E39" s="2">
        <f>D39</f>
        <v/>
      </c>
      <c r="F39" s="2">
        <f>E39</f>
        <v/>
      </c>
      <c r="G39" s="2">
        <f>F39</f>
        <v/>
      </c>
    </row>
    <row r="40">
      <c r="A40" t="inlineStr">
        <is>
          <t>Beneficios derivados de los ingresos anuales</t>
        </is>
      </c>
      <c r="B40" s="14">
        <f>B36*B38*B39</f>
        <v/>
      </c>
      <c r="C40" s="14">
        <f>C36*C38*C39</f>
        <v/>
      </c>
      <c r="D40" s="14">
        <f>D36*D38*D39</f>
        <v/>
      </c>
      <c r="E40" s="14">
        <f>E36*E38*E39</f>
        <v/>
      </c>
      <c r="F40" s="14">
        <f>F36*F38*F39</f>
        <v/>
      </c>
      <c r="G40" s="14">
        <f>G36*G38*G39</f>
        <v/>
      </c>
    </row>
    <row r="42">
      <c r="A42" s="7" t="inlineStr">
        <is>
          <t>Ingresos recurrentes</t>
        </is>
      </c>
      <c r="B42" s="14" t="n"/>
      <c r="C42" s="14">
        <f>$B$15*$B$17</f>
        <v/>
      </c>
      <c r="D42" s="14">
        <f>$B$15*$B$18</f>
        <v/>
      </c>
      <c r="E42" s="14">
        <f>$B$15*$B$18</f>
        <v/>
      </c>
      <c r="F42" s="14">
        <f>$B$15*$B$18</f>
        <v/>
      </c>
      <c r="G42" s="14">
        <f>$B$15*$B$18</f>
        <v/>
      </c>
    </row>
    <row r="43">
      <c r="A43" t="inlineStr">
        <is>
          <t>Tasa de retención</t>
        </is>
      </c>
      <c r="B43" s="2" t="n"/>
      <c r="C43" s="2">
        <f>B19</f>
        <v/>
      </c>
      <c r="D43" s="2">
        <f>C43</f>
        <v/>
      </c>
      <c r="E43" s="2">
        <f>D43</f>
        <v/>
      </c>
      <c r="F43" s="2">
        <f>E43</f>
        <v/>
      </c>
      <c r="G43" s="2">
        <f>F43</f>
        <v/>
      </c>
    </row>
    <row r="44">
      <c r="A44" t="inlineStr">
        <is>
          <t>Tasa de retención acumulada</t>
        </is>
      </c>
      <c r="B44" s="2" t="n"/>
      <c r="C44" s="2">
        <f>C43</f>
        <v/>
      </c>
      <c r="D44" s="2">
        <f>C44*D43</f>
        <v/>
      </c>
      <c r="E44" s="2">
        <f>D44*E43</f>
        <v/>
      </c>
      <c r="F44" s="2">
        <f>E44*F43</f>
        <v/>
      </c>
      <c r="G44" s="2">
        <f>F44*G43</f>
        <v/>
      </c>
    </row>
    <row r="45">
      <c r="A45" t="inlineStr">
        <is>
          <t>Margen bruto para ingresos recurrentes</t>
        </is>
      </c>
      <c r="B45" s="2" t="n"/>
      <c r="C45" s="2">
        <f>B16</f>
        <v/>
      </c>
      <c r="D45" s="2">
        <f>C45</f>
        <v/>
      </c>
      <c r="E45" s="2">
        <f>D45</f>
        <v/>
      </c>
      <c r="F45" s="2">
        <f>E45</f>
        <v/>
      </c>
      <c r="G45" s="2">
        <f>F45</f>
        <v/>
      </c>
    </row>
    <row r="46">
      <c r="A46" t="inlineStr">
        <is>
          <t>Beneficios de los ingresos recurrentes</t>
        </is>
      </c>
      <c r="B46" s="14">
        <f>B42*B44*B45</f>
        <v/>
      </c>
      <c r="C46" s="14">
        <f>C42*C44*C45</f>
        <v/>
      </c>
      <c r="D46" s="14">
        <f>D42*D44*D45</f>
        <v/>
      </c>
      <c r="E46" s="14">
        <f>E42*E44*E45</f>
        <v/>
      </c>
      <c r="F46" s="14">
        <f>F42*F44*F45</f>
        <v/>
      </c>
      <c r="G46" s="14">
        <f>G42*G44*G45</f>
        <v/>
      </c>
    </row>
    <row r="48">
      <c r="A48" s="7" t="inlineStr">
        <is>
          <t>Ingresos por ventas adicionales</t>
        </is>
      </c>
      <c r="B48" s="14" t="n"/>
      <c r="C48" s="14">
        <f>B22</f>
        <v/>
      </c>
      <c r="D48" s="14">
        <f>C48</f>
        <v/>
      </c>
      <c r="E48" s="14">
        <f>D48</f>
        <v/>
      </c>
      <c r="F48" s="14">
        <f>E48</f>
        <v/>
      </c>
      <c r="G48" s="14">
        <f>F48</f>
        <v/>
      </c>
    </row>
    <row r="49">
      <c r="A49" t="inlineStr">
        <is>
          <t>Tasa de retención</t>
        </is>
      </c>
      <c r="B49" s="2" t="n"/>
      <c r="C49" s="2">
        <f>B24</f>
        <v/>
      </c>
      <c r="D49" s="2">
        <f>C49</f>
        <v/>
      </c>
      <c r="E49" s="2">
        <f>D49</f>
        <v/>
      </c>
      <c r="F49" s="2">
        <f>E49</f>
        <v/>
      </c>
      <c r="G49" s="2">
        <f>F49</f>
        <v/>
      </c>
    </row>
    <row r="50">
      <c r="A50" t="inlineStr">
        <is>
          <t>Tasa de retención acumulada</t>
        </is>
      </c>
      <c r="B50" s="2" t="n"/>
      <c r="C50" s="2">
        <f>C49</f>
        <v/>
      </c>
      <c r="D50" s="2">
        <f>C50*D49</f>
        <v/>
      </c>
      <c r="E50" s="2">
        <f>D50*E49</f>
        <v/>
      </c>
      <c r="F50" s="2">
        <f>E50*F49</f>
        <v/>
      </c>
      <c r="G50" s="2">
        <f>F50*G49</f>
        <v/>
      </c>
    </row>
    <row r="51">
      <c r="A51" t="inlineStr">
        <is>
          <t>Margen bruto para ventas adicionales</t>
        </is>
      </c>
      <c r="B51" s="2" t="n"/>
      <c r="C51" s="2">
        <f>B23</f>
        <v/>
      </c>
      <c r="D51" s="2">
        <f>C51</f>
        <v/>
      </c>
      <c r="E51" s="2">
        <f>D51</f>
        <v/>
      </c>
      <c r="F51" s="2">
        <f>E51</f>
        <v/>
      </c>
      <c r="G51" s="2">
        <f>F51</f>
        <v/>
      </c>
    </row>
    <row r="52">
      <c r="A52" t="inlineStr">
        <is>
          <t>Obtenga ganancias con las ventas de complementos</t>
        </is>
      </c>
      <c r="B52" s="14">
        <f>B48*B50*B51</f>
        <v/>
      </c>
      <c r="C52" s="14">
        <f>C48*C50*C51</f>
        <v/>
      </c>
      <c r="D52" s="14">
        <f>D48*D50*D51</f>
        <v/>
      </c>
      <c r="E52" s="14">
        <f>E48*E50*E51</f>
        <v/>
      </c>
      <c r="F52" s="14">
        <f>F48*F50*F51</f>
        <v/>
      </c>
      <c r="G52" s="14">
        <f>G48*G50*G51</f>
        <v/>
      </c>
    </row>
    <row r="54">
      <c r="A54" s="7" t="inlineStr">
        <is>
          <t>Beneficios totales</t>
        </is>
      </c>
      <c r="B54" s="14">
        <f>B34+B40+B46+B52</f>
        <v/>
      </c>
      <c r="C54" s="14">
        <f>C34+C40+C46+C52</f>
        <v/>
      </c>
      <c r="D54" s="14">
        <f>D34+D40+D46+D52</f>
        <v/>
      </c>
      <c r="E54" s="14">
        <f>E34+E40+E46+E52</f>
        <v/>
      </c>
      <c r="F54" s="14">
        <f>F34+F40+F46+F52</f>
        <v/>
      </c>
      <c r="G54" s="14">
        <f>G34+G40+G46+G52</f>
        <v/>
      </c>
      <c r="H54" s="1" t="n"/>
    </row>
    <row r="55">
      <c r="B55" s="14" t="n"/>
      <c r="C55" s="14" t="n"/>
      <c r="D55" s="14" t="n"/>
      <c r="E55" s="14" t="n"/>
      <c r="F55" s="14" t="n"/>
      <c r="G55" s="14" t="n"/>
      <c r="H55" s="1" t="n"/>
    </row>
    <row r="56">
      <c r="A56" s="7" t="inlineStr">
        <is>
          <t>Tasa de costo de capital</t>
        </is>
      </c>
      <c r="B56" s="2">
        <f>B27</f>
        <v/>
      </c>
      <c r="C56" s="2">
        <f>B56</f>
        <v/>
      </c>
      <c r="D56" s="2">
        <f>C56</f>
        <v/>
      </c>
      <c r="E56" s="2">
        <f>D56</f>
        <v/>
      </c>
      <c r="F56" s="2">
        <f>E56</f>
        <v/>
      </c>
      <c r="G56" s="2">
        <f>F56</f>
        <v/>
      </c>
      <c r="H56" s="1" t="n"/>
    </row>
    <row r="57">
      <c r="A57" t="inlineStr">
        <is>
          <t>Factor de valor actual neto</t>
        </is>
      </c>
      <c r="B57" s="16">
        <f>(1/(1+$B$27))^B30</f>
        <v/>
      </c>
      <c r="C57" s="16">
        <f>(1/(1+$B$27))^C30</f>
        <v/>
      </c>
      <c r="D57" s="16">
        <f>(1/(1+$B$27))^D30</f>
        <v/>
      </c>
      <c r="E57" s="16">
        <f>(1/(1+$B$27))^E30</f>
        <v/>
      </c>
      <c r="F57" s="16">
        <f>(1/(1+$B$27))^F30</f>
        <v/>
      </c>
      <c r="G57" s="16">
        <f>(1/(1+$B$27))^G30</f>
        <v/>
      </c>
      <c r="H57" s="1" t="n"/>
    </row>
    <row r="58">
      <c r="A58" t="inlineStr">
        <is>
          <t>Valor actual de las ganancias</t>
        </is>
      </c>
      <c r="B58" s="14">
        <f>B54*B57</f>
        <v/>
      </c>
      <c r="C58" s="14">
        <f>C54*C57</f>
        <v/>
      </c>
      <c r="D58" s="14">
        <f>D54*D57</f>
        <v/>
      </c>
      <c r="E58" s="14">
        <f>E54*E57</f>
        <v/>
      </c>
      <c r="F58" s="14">
        <f>F54*F57</f>
        <v/>
      </c>
      <c r="G58" s="14">
        <f>G54*G57</f>
        <v/>
      </c>
      <c r="H58" s="1" t="n"/>
    </row>
    <row r="59" ht="19" customHeight="1">
      <c r="A59" s="21" t="inlineStr">
        <is>
          <t>LTV/Valor Actual Neto de las Ganancias</t>
        </is>
      </c>
      <c r="B59" s="17">
        <f>SUM(B58:G58)</f>
        <v/>
      </c>
      <c r="C59" s="14" t="n"/>
      <c r="D59" s="14" t="n"/>
      <c r="E59" s="14" t="n"/>
      <c r="F59" s="14" t="n"/>
      <c r="G59" s="14" t="n"/>
      <c r="H59" s="1" t="n"/>
    </row>
    <row r="60">
      <c r="B60" s="3" t="n"/>
    </row>
    <row r="61">
      <c r="A61" s="8" t="n"/>
      <c r="B61" s="9" t="n"/>
      <c r="C61" s="9" t="n"/>
      <c r="D61" s="9" t="n"/>
      <c r="E61" s="9" t="n"/>
      <c r="F61" s="9" t="n"/>
    </row>
    <row r="62">
      <c r="A62" s="8" t="inlineStr">
        <is>
          <t>Relación LTV/CAC</t>
        </is>
      </c>
      <c r="B62" s="9" t="n">
        <v>3</v>
      </c>
      <c r="C62" s="9" t="n">
        <v>4</v>
      </c>
      <c r="D62" s="9" t="n">
        <v>5</v>
      </c>
      <c r="E62" s="9" t="n">
        <v>6</v>
      </c>
      <c r="F62" s="9" t="n">
        <v>8</v>
      </c>
    </row>
    <row r="63">
      <c r="A63" s="8" t="inlineStr">
        <is>
          <t>CAC (Costo de Adquisición de Clientes)</t>
        </is>
      </c>
      <c r="B63" s="15">
        <f>$B$59/B62</f>
        <v/>
      </c>
      <c r="C63" s="15">
        <f>$B$59/C62</f>
        <v/>
      </c>
      <c r="D63" s="15">
        <f>$B$59/D62</f>
        <v/>
      </c>
      <c r="E63" s="15">
        <f>$B$59/E62</f>
        <v/>
      </c>
      <c r="F63" s="15">
        <f>$B$59/F62</f>
        <v/>
      </c>
    </row>
    <row r="75">
      <c r="B75" s="2" t="n"/>
    </row>
    <row r="76">
      <c r="B76" s="3" t="n"/>
    </row>
  </sheetData>
  <printOptions gridLines="1"/>
  <pageMargins left="0.7" right="0.7" top="0.75" bottom="0.75" header="0.3" footer="0.3"/>
  <pageSetup orientation="landscape" verticalDpi="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B9" sqref="B9"/>
    </sheetView>
  </sheetViews>
  <sheetFormatPr baseColWidth="10" defaultColWidth="8.83203125" defaultRowHeight="15"/>
  <cols>
    <col width="29.83203125" customWidth="1" min="1" max="1"/>
  </cols>
  <sheetData>
    <row r="1">
      <c r="A1" s="18" t="inlineStr">
        <is>
          <t>https://www.planprojections.com/funding/cost-of-equity-financing/</t>
        </is>
      </c>
    </row>
    <row r="2">
      <c r="A2" t="inlineStr">
        <is>
          <t>La fórmula es i=(FV/PV)^(1/n)-1</t>
        </is>
      </c>
    </row>
    <row r="3">
      <c r="A3" t="inlineStr">
        <is>
          <t>Ingrese los primeros 5 valores y se calculará el costo del capital propio.</t>
        </is>
      </c>
    </row>
    <row r="5">
      <c r="A5" s="7" t="inlineStr">
        <is>
          <t>Factor</t>
        </is>
      </c>
    </row>
    <row r="6">
      <c r="A6" t="inlineStr">
        <is>
          <t>PV - Inversión en capital</t>
        </is>
      </c>
      <c r="B6" s="1" t="n">
        <v>70000</v>
      </c>
    </row>
    <row r="7">
      <c r="A7" t="inlineStr">
        <is>
          <t>% de capital adquirido</t>
        </is>
      </c>
      <c r="B7" s="2" t="n">
        <v>0.4</v>
      </c>
    </row>
    <row r="8">
      <c r="A8" t="inlineStr">
        <is>
          <t>Valor del negocio disponible</t>
        </is>
      </c>
      <c r="B8" s="1" t="n">
        <v>940000</v>
      </c>
    </row>
    <row r="9">
      <c r="A9" t="inlineStr">
        <is>
          <t>FV = Valor del capital en el momento de la disposición</t>
        </is>
      </c>
      <c r="B9" s="1">
        <f>B8*B7</f>
        <v/>
      </c>
    </row>
    <row r="10">
      <c r="A10" t="inlineStr">
        <is>
          <t>n - número de años hasta la eliminación</t>
        </is>
      </c>
      <c r="B10" s="1" t="n">
        <v>5</v>
      </c>
    </row>
    <row r="12">
      <c r="A12" s="7" t="inlineStr">
        <is>
          <t>i = costo del capital</t>
        </is>
      </c>
      <c r="B12" s="20">
        <f>(B9/B6)^(1/B10)-1</f>
        <v/>
      </c>
    </row>
  </sheetData>
  <hyperlinks>
    <hyperlink xmlns:r="http://schemas.openxmlformats.org/officeDocument/2006/relationships" ref="A1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10" defaultColWidth="8.83203125" defaultRowHeight="15"/>
  <cols>
    <col width="17.33203125" customWidth="1" min="1" max="1"/>
  </cols>
  <sheetData>
    <row r="1">
      <c r="A1" s="7" t="n"/>
      <c r="C1" s="7" t="inlineStr">
        <is>
          <t>Rotación a diferentes ritmos</t>
        </is>
      </c>
    </row>
    <row r="2">
      <c r="A2" s="7" t="inlineStr">
        <is>
          <t>Tasa de abandono</t>
        </is>
      </c>
      <c r="B2" s="20" t="n">
        <v>0.02</v>
      </c>
      <c r="C2" s="20" t="n">
        <v>0.05</v>
      </c>
      <c r="D2" s="20" t="n">
        <v>0.1</v>
      </c>
      <c r="E2" s="20" t="n">
        <v>0.15</v>
      </c>
      <c r="F2" s="20" t="n">
        <v>0.2</v>
      </c>
    </row>
    <row r="3">
      <c r="A3" s="7" t="inlineStr">
        <is>
          <t>Número inicial de clientes</t>
        </is>
      </c>
      <c r="B3" s="1" t="n">
        <v>100</v>
      </c>
      <c r="C3" s="1" t="n">
        <v>100</v>
      </c>
      <c r="D3" s="1" t="n">
        <v>100</v>
      </c>
      <c r="E3" s="1" t="n">
        <v>100</v>
      </c>
      <c r="F3" s="1" t="n">
        <v>100</v>
      </c>
    </row>
    <row r="4">
      <c r="A4" t="inlineStr">
        <is>
          <t>Periodo 1</t>
        </is>
      </c>
      <c r="B4" s="19">
        <f>B3*(1-$B$2)</f>
        <v/>
      </c>
      <c r="C4" s="19">
        <f>C3*(1-$C$2)</f>
        <v/>
      </c>
      <c r="D4" s="19">
        <f>D3*(1-$D$2)</f>
        <v/>
      </c>
      <c r="E4" s="19">
        <f>E3*(1-$E$2)</f>
        <v/>
      </c>
      <c r="F4" s="19">
        <f>F3*(1-$F$2)</f>
        <v/>
      </c>
    </row>
    <row r="5">
      <c r="A5" t="inlineStr">
        <is>
          <t>Periodo 2</t>
        </is>
      </c>
      <c r="B5" s="19">
        <f>B4*(1-$B$2)</f>
        <v/>
      </c>
      <c r="C5" s="19">
        <f>C4*(1-$C$2)</f>
        <v/>
      </c>
      <c r="D5" s="19">
        <f>D4*(1-$D$2)</f>
        <v/>
      </c>
      <c r="E5" s="19">
        <f>E4*(1-$E$2)</f>
        <v/>
      </c>
      <c r="F5" s="19">
        <f>F4*(1-$F$2)</f>
        <v/>
      </c>
    </row>
    <row r="6">
      <c r="A6" t="inlineStr">
        <is>
          <t>Periodo 3</t>
        </is>
      </c>
      <c r="B6" s="19">
        <f>B5*(1-$B$2)</f>
        <v/>
      </c>
      <c r="C6" s="19">
        <f>C5*(1-$C$2)</f>
        <v/>
      </c>
      <c r="D6" s="19">
        <f>D5*(1-$D$2)</f>
        <v/>
      </c>
      <c r="E6" s="19">
        <f>E5*(1-$E$2)</f>
        <v/>
      </c>
      <c r="F6" s="19">
        <f>F5*(1-$F$2)</f>
        <v/>
      </c>
    </row>
    <row r="7">
      <c r="A7" t="inlineStr">
        <is>
          <t>Periodo 4</t>
        </is>
      </c>
      <c r="B7" s="19">
        <f>B6*(1-$B$2)</f>
        <v/>
      </c>
      <c r="C7" s="19">
        <f>C6*(1-$C$2)</f>
        <v/>
      </c>
      <c r="D7" s="19">
        <f>D6*(1-$D$2)</f>
        <v/>
      </c>
      <c r="E7" s="19">
        <f>E6*(1-$E$2)</f>
        <v/>
      </c>
      <c r="F7" s="19">
        <f>F6*(1-$F$2)</f>
        <v/>
      </c>
    </row>
    <row r="8">
      <c r="A8" t="inlineStr">
        <is>
          <t>Periodo 5</t>
        </is>
      </c>
      <c r="B8" s="19">
        <f>B7*(1-$B$2)</f>
        <v/>
      </c>
      <c r="C8" s="19">
        <f>C7*(1-$C$2)</f>
        <v/>
      </c>
      <c r="D8" s="19">
        <f>D7*(1-$D$2)</f>
        <v/>
      </c>
      <c r="E8" s="19">
        <f>E7*(1-$E$2)</f>
        <v/>
      </c>
      <c r="F8" s="19">
        <f>F7*(1-$F$2)</f>
        <v/>
      </c>
    </row>
    <row r="9">
      <c r="A9" t="inlineStr">
        <is>
          <t>Periodo 6</t>
        </is>
      </c>
      <c r="B9" s="19">
        <f>B8*(1-$B$2)</f>
        <v/>
      </c>
      <c r="C9" s="19">
        <f>C8*(1-$C$2)</f>
        <v/>
      </c>
      <c r="D9" s="19">
        <f>D8*(1-$D$2)</f>
        <v/>
      </c>
      <c r="E9" s="19">
        <f>E8*(1-$E$2)</f>
        <v/>
      </c>
      <c r="F9" s="19">
        <f>F8*(1-$F$2)</f>
        <v/>
      </c>
    </row>
    <row r="10">
      <c r="A10" t="inlineStr">
        <is>
          <t>Periodo 7</t>
        </is>
      </c>
      <c r="B10" s="19">
        <f>B9*(1-$B$2)</f>
        <v/>
      </c>
      <c r="C10" s="19">
        <f>C9*(1-$C$2)</f>
        <v/>
      </c>
      <c r="D10" s="19">
        <f>D9*(1-$D$2)</f>
        <v/>
      </c>
      <c r="E10" s="19">
        <f>E9*(1-$E$2)</f>
        <v/>
      </c>
      <c r="F10" s="19">
        <f>F9*(1-$F$2)</f>
        <v/>
      </c>
    </row>
    <row r="11">
      <c r="A11" t="inlineStr">
        <is>
          <t>Periodo 8</t>
        </is>
      </c>
      <c r="B11" s="19">
        <f>B10*(1-$B$2)</f>
        <v/>
      </c>
      <c r="C11" s="19">
        <f>C10*(1-$C$2)</f>
        <v/>
      </c>
      <c r="D11" s="19">
        <f>D10*(1-$D$2)</f>
        <v/>
      </c>
      <c r="E11" s="19">
        <f>E10*(1-$E$2)</f>
        <v/>
      </c>
      <c r="F11" s="19">
        <f>F10*(1-$F$2)</f>
        <v/>
      </c>
    </row>
    <row r="12">
      <c r="A12" t="inlineStr">
        <is>
          <t>Periodo 9</t>
        </is>
      </c>
      <c r="B12" s="19">
        <f>B11*(1-$B$2)</f>
        <v/>
      </c>
      <c r="C12" s="19">
        <f>C11*(1-$C$2)</f>
        <v/>
      </c>
      <c r="D12" s="19">
        <f>D11*(1-$D$2)</f>
        <v/>
      </c>
      <c r="E12" s="19">
        <f>E11*(1-$E$2)</f>
        <v/>
      </c>
      <c r="F12" s="19">
        <f>F11*(1-$F$2)</f>
        <v/>
      </c>
    </row>
    <row r="13">
      <c r="A13" t="inlineStr">
        <is>
          <t>Periodo 10</t>
        </is>
      </c>
      <c r="B13" s="19">
        <f>B12*(1-$B$2)</f>
        <v/>
      </c>
      <c r="C13" s="19">
        <f>C12*(1-$C$2)</f>
        <v/>
      </c>
      <c r="D13" s="19">
        <f>D12*(1-$D$2)</f>
        <v/>
      </c>
      <c r="E13" s="19">
        <f>E12*(1-$E$2)</f>
        <v/>
      </c>
      <c r="F13" s="19">
        <f>F12*(1-$F$2)</f>
        <v/>
      </c>
    </row>
    <row r="14">
      <c r="A14" t="inlineStr">
        <is>
          <t>Periodo 11</t>
        </is>
      </c>
      <c r="B14" s="19">
        <f>B13*(1-$B$2)</f>
        <v/>
      </c>
      <c r="C14" s="19">
        <f>C13*(1-$C$2)</f>
        <v/>
      </c>
      <c r="D14" s="19">
        <f>D13*(1-$D$2)</f>
        <v/>
      </c>
      <c r="E14" s="19">
        <f>E13*(1-$E$2)</f>
        <v/>
      </c>
      <c r="F14" s="19">
        <f>F13*(1-$F$2)</f>
        <v/>
      </c>
    </row>
    <row r="15">
      <c r="A15" t="inlineStr">
        <is>
          <t>Periodo 12</t>
        </is>
      </c>
      <c r="B15" s="19">
        <f>B14*(1-$B$2)</f>
        <v/>
      </c>
      <c r="C15" s="19">
        <f>C14*(1-$C$2)</f>
        <v/>
      </c>
      <c r="D15" s="19">
        <f>D14*(1-$D$2)</f>
        <v/>
      </c>
      <c r="E15" s="19">
        <f>E14*(1-$E$2)</f>
        <v/>
      </c>
      <c r="F15" s="19">
        <f>F14*(1-$F$2)</f>
        <v/>
      </c>
    </row>
    <row r="16">
      <c r="A16" t="inlineStr">
        <is>
          <t>Periodo 13</t>
        </is>
      </c>
      <c r="B16" s="19">
        <f>B15*(1-$B$2)</f>
        <v/>
      </c>
      <c r="C16" s="19">
        <f>C15*(1-$C$2)</f>
        <v/>
      </c>
      <c r="D16" s="19">
        <f>D15*(1-$D$2)</f>
        <v/>
      </c>
      <c r="E16" s="19">
        <f>E15*(1-$E$2)</f>
        <v/>
      </c>
      <c r="F16" s="19">
        <f>F15*(1-$F$2)</f>
        <v/>
      </c>
    </row>
    <row r="17">
      <c r="A17" t="inlineStr">
        <is>
          <t>Periodo 14</t>
        </is>
      </c>
      <c r="B17" s="19">
        <f>B16*(1-$B$2)</f>
        <v/>
      </c>
      <c r="C17" s="19">
        <f>C16*(1-$C$2)</f>
        <v/>
      </c>
      <c r="D17" s="19">
        <f>D16*(1-$D$2)</f>
        <v/>
      </c>
      <c r="E17" s="19">
        <f>E16*(1-$E$2)</f>
        <v/>
      </c>
      <c r="F17" s="19">
        <f>F16*(1-$F$2)</f>
        <v/>
      </c>
    </row>
    <row r="18">
      <c r="A18" t="inlineStr">
        <is>
          <t>Periodo 15</t>
        </is>
      </c>
      <c r="B18" s="19">
        <f>B17*(1-$B$2)</f>
        <v/>
      </c>
      <c r="C18" s="19">
        <f>C17*(1-$C$2)</f>
        <v/>
      </c>
      <c r="D18" s="19">
        <f>D17*(1-$D$2)</f>
        <v/>
      </c>
      <c r="E18" s="19">
        <f>E17*(1-$E$2)</f>
        <v/>
      </c>
      <c r="F18" s="19">
        <f>F17*(1-$F$2)</f>
        <v/>
      </c>
    </row>
    <row r="19">
      <c r="A19" t="inlineStr">
        <is>
          <t>Periodo 16</t>
        </is>
      </c>
      <c r="B19" s="19">
        <f>B18*(1-$B$2)</f>
        <v/>
      </c>
      <c r="C19" s="19">
        <f>C18*(1-$C$2)</f>
        <v/>
      </c>
      <c r="D19" s="19">
        <f>D18*(1-$D$2)</f>
        <v/>
      </c>
      <c r="E19" s="19">
        <f>E18*(1-$E$2)</f>
        <v/>
      </c>
      <c r="F19" s="19">
        <f>F18*(1-$F$2)</f>
        <v/>
      </c>
    </row>
    <row r="20">
      <c r="A20" t="inlineStr">
        <is>
          <t>Periodo 17</t>
        </is>
      </c>
      <c r="B20" s="19">
        <f>B19*(1-$B$2)</f>
        <v/>
      </c>
      <c r="C20" s="19">
        <f>C19*(1-$C$2)</f>
        <v/>
      </c>
      <c r="D20" s="19">
        <f>D19*(1-$D$2)</f>
        <v/>
      </c>
      <c r="E20" s="19">
        <f>E19*(1-$E$2)</f>
        <v/>
      </c>
      <c r="F20" s="19">
        <f>F19*(1-$F$2)</f>
        <v/>
      </c>
    </row>
    <row r="21">
      <c r="A21" t="inlineStr">
        <is>
          <t>Periodo 18</t>
        </is>
      </c>
      <c r="B21" s="19">
        <f>B20*(1-$B$2)</f>
        <v/>
      </c>
      <c r="C21" s="19">
        <f>C20*(1-$C$2)</f>
        <v/>
      </c>
      <c r="D21" s="19">
        <f>D20*(1-$D$2)</f>
        <v/>
      </c>
      <c r="E21" s="19">
        <f>E20*(1-$E$2)</f>
        <v/>
      </c>
      <c r="F21" s="19">
        <f>F20*(1-$F$2)</f>
        <v/>
      </c>
    </row>
    <row r="22">
      <c r="A22" t="inlineStr">
        <is>
          <t>Periodo 19</t>
        </is>
      </c>
      <c r="B22" s="19">
        <f>B21*(1-$B$2)</f>
        <v/>
      </c>
      <c r="C22" s="19">
        <f>C21*(1-$C$2)</f>
        <v/>
      </c>
      <c r="D22" s="19">
        <f>D21*(1-$D$2)</f>
        <v/>
      </c>
      <c r="E22" s="19">
        <f>E21*(1-$E$2)</f>
        <v/>
      </c>
      <c r="F22" s="19">
        <f>F21*(1-$F$2)</f>
        <v/>
      </c>
    </row>
    <row r="23">
      <c r="A23" t="inlineStr">
        <is>
          <t>Periodo 20</t>
        </is>
      </c>
      <c r="B23" s="19">
        <f>B22*(1-$B$2)</f>
        <v/>
      </c>
      <c r="C23" s="19">
        <f>C22*(1-$C$2)</f>
        <v/>
      </c>
      <c r="D23" s="19">
        <f>D22*(1-$D$2)</f>
        <v/>
      </c>
      <c r="E23" s="19">
        <f>E22*(1-$E$2)</f>
        <v/>
      </c>
      <c r="F23" s="19">
        <f>F22*(1-$F$2)</f>
        <v/>
      </c>
    </row>
    <row r="24">
      <c r="A24" t="inlineStr">
        <is>
          <t>Periodo 21</t>
        </is>
      </c>
      <c r="B24" s="19">
        <f>B23*(1-$B$2)</f>
        <v/>
      </c>
      <c r="C24" s="19">
        <f>C23*(1-$C$2)</f>
        <v/>
      </c>
      <c r="D24" s="19">
        <f>D23*(1-$D$2)</f>
        <v/>
      </c>
      <c r="E24" s="19">
        <f>E23*(1-$E$2)</f>
        <v/>
      </c>
      <c r="F24" s="19">
        <f>F23*(1-$F$2)</f>
        <v/>
      </c>
    </row>
    <row r="25">
      <c r="A25" t="inlineStr">
        <is>
          <t>Periodo 22</t>
        </is>
      </c>
      <c r="B25" s="19">
        <f>B24*(1-$B$2)</f>
        <v/>
      </c>
      <c r="C25" s="19">
        <f>C24*(1-$C$2)</f>
        <v/>
      </c>
      <c r="D25" s="19">
        <f>D24*(1-$D$2)</f>
        <v/>
      </c>
      <c r="E25" s="19">
        <f>E24*(1-$E$2)</f>
        <v/>
      </c>
      <c r="F25" s="19">
        <f>F24*(1-$F$2)</f>
        <v/>
      </c>
    </row>
    <row r="26">
      <c r="A26" t="inlineStr">
        <is>
          <t>Periodo 23</t>
        </is>
      </c>
      <c r="B26" s="19">
        <f>B25*(1-$B$2)</f>
        <v/>
      </c>
      <c r="C26" s="19">
        <f>C25*(1-$C$2)</f>
        <v/>
      </c>
      <c r="D26" s="19">
        <f>D25*(1-$D$2)</f>
        <v/>
      </c>
      <c r="E26" s="19">
        <f>E25*(1-$E$2)</f>
        <v/>
      </c>
      <c r="F26" s="19">
        <f>F25*(1-$F$2)</f>
        <v/>
      </c>
    </row>
    <row r="27">
      <c r="A27" t="inlineStr">
        <is>
          <t>Periodo 24</t>
        </is>
      </c>
      <c r="B27" s="19">
        <f>B26*(1-$B$2)</f>
        <v/>
      </c>
      <c r="C27" s="19">
        <f>C26*(1-$C$2)</f>
        <v/>
      </c>
      <c r="D27" s="19">
        <f>D26*(1-$D$2)</f>
        <v/>
      </c>
      <c r="E27" s="19">
        <f>E26*(1-$E$2)</f>
        <v/>
      </c>
      <c r="F27" s="19">
        <f>F26*(1-$F$2)</f>
        <v/>
      </c>
    </row>
    <row r="28">
      <c r="A28" t="inlineStr">
        <is>
          <t>Periodo 25</t>
        </is>
      </c>
      <c r="B28" s="19">
        <f>B27*(1-$B$2)</f>
        <v/>
      </c>
      <c r="C28" s="19">
        <f>C27*(1-$C$2)</f>
        <v/>
      </c>
      <c r="D28" s="19">
        <f>D27*(1-$D$2)</f>
        <v/>
      </c>
      <c r="E28" s="19">
        <f>E27*(1-$E$2)</f>
        <v/>
      </c>
      <c r="F28" s="19">
        <f>F27*(1-$F$2)</f>
        <v/>
      </c>
    </row>
    <row r="29">
      <c r="A29" t="inlineStr">
        <is>
          <t>Periodo 26</t>
        </is>
      </c>
      <c r="B29" s="19">
        <f>B28*(1-$B$2)</f>
        <v/>
      </c>
      <c r="C29" s="19">
        <f>C28*(1-$C$2)</f>
        <v/>
      </c>
      <c r="D29" s="19">
        <f>D28*(1-$D$2)</f>
        <v/>
      </c>
      <c r="E29" s="19">
        <f>E28*(1-$E$2)</f>
        <v/>
      </c>
      <c r="F29" s="19">
        <f>F28*(1-$F$2)</f>
        <v/>
      </c>
    </row>
    <row r="30">
      <c r="A30" t="inlineStr">
        <is>
          <t>Periodo 27</t>
        </is>
      </c>
      <c r="B30" s="19">
        <f>B29*(1-$B$2)</f>
        <v/>
      </c>
      <c r="C30" s="19">
        <f>C29*(1-$C$2)</f>
        <v/>
      </c>
      <c r="D30" s="19">
        <f>D29*(1-$D$2)</f>
        <v/>
      </c>
      <c r="E30" s="19">
        <f>E29*(1-$E$2)</f>
        <v/>
      </c>
      <c r="F30" s="19">
        <f>F29*(1-$F$2)</f>
        <v/>
      </c>
    </row>
    <row r="31">
      <c r="A31" t="inlineStr">
        <is>
          <t>Periodo 28</t>
        </is>
      </c>
      <c r="B31" s="19">
        <f>B30*(1-$B$2)</f>
        <v/>
      </c>
      <c r="C31" s="19">
        <f>C30*(1-$C$2)</f>
        <v/>
      </c>
      <c r="D31" s="19">
        <f>D30*(1-$D$2)</f>
        <v/>
      </c>
      <c r="E31" s="19">
        <f>E30*(1-$E$2)</f>
        <v/>
      </c>
      <c r="F31" s="19">
        <f>F30*(1-$F$2)</f>
        <v/>
      </c>
    </row>
    <row r="32">
      <c r="A32" t="inlineStr">
        <is>
          <t>Periodo 29</t>
        </is>
      </c>
      <c r="B32" s="19">
        <f>B31*(1-$B$2)</f>
        <v/>
      </c>
      <c r="C32" s="19">
        <f>C31*(1-$C$2)</f>
        <v/>
      </c>
      <c r="D32" s="19">
        <f>D31*(1-$D$2)</f>
        <v/>
      </c>
      <c r="E32" s="19">
        <f>E31*(1-$E$2)</f>
        <v/>
      </c>
      <c r="F32" s="19">
        <f>F31*(1-$F$2)</f>
        <v/>
      </c>
    </row>
    <row r="33">
      <c r="A33" t="inlineStr">
        <is>
          <t>Periodo 30</t>
        </is>
      </c>
      <c r="B33" s="19">
        <f>B32*(1-$B$2)</f>
        <v/>
      </c>
      <c r="C33" s="19">
        <f>C32*(1-$C$2)</f>
        <v/>
      </c>
      <c r="D33" s="19">
        <f>D32*(1-$D$2)</f>
        <v/>
      </c>
      <c r="E33" s="19">
        <f>E32*(1-$E$2)</f>
        <v/>
      </c>
      <c r="F33" s="19">
        <f>F32*(1-$F$2)</f>
        <v/>
      </c>
    </row>
    <row r="34">
      <c r="A34" t="inlineStr">
        <is>
          <t>Periodo 31</t>
        </is>
      </c>
      <c r="B34" s="19">
        <f>B33*(1-$B$2)</f>
        <v/>
      </c>
      <c r="C34" s="19">
        <f>C33*(1-$C$2)</f>
        <v/>
      </c>
      <c r="D34" s="19">
        <f>D33*(1-$D$2)</f>
        <v/>
      </c>
      <c r="E34" s="19">
        <f>E33*(1-$E$2)</f>
        <v/>
      </c>
      <c r="F34" s="19">
        <f>F33*(1-$F$2)</f>
        <v/>
      </c>
    </row>
    <row r="35">
      <c r="A35" t="inlineStr">
        <is>
          <t>Periodo 32</t>
        </is>
      </c>
      <c r="B35" s="19">
        <f>B34*(1-$B$2)</f>
        <v/>
      </c>
      <c r="C35" s="19">
        <f>C34*(1-$C$2)</f>
        <v/>
      </c>
      <c r="D35" s="19">
        <f>D34*(1-$D$2)</f>
        <v/>
      </c>
      <c r="E35" s="19">
        <f>E34*(1-$E$2)</f>
        <v/>
      </c>
      <c r="F35" s="19">
        <f>F34*(1-$F$2)</f>
        <v/>
      </c>
    </row>
    <row r="36">
      <c r="A36" t="inlineStr">
        <is>
          <t>Periodo 33</t>
        </is>
      </c>
      <c r="B36" s="19">
        <f>B35*(1-$B$2)</f>
        <v/>
      </c>
      <c r="C36" s="19">
        <f>C35*(1-$C$2)</f>
        <v/>
      </c>
      <c r="D36" s="19">
        <f>D35*(1-$D$2)</f>
        <v/>
      </c>
      <c r="E36" s="19">
        <f>E35*(1-$E$2)</f>
        <v/>
      </c>
      <c r="F36" s="19">
        <f>F35*(1-$F$2)</f>
        <v/>
      </c>
    </row>
    <row r="37">
      <c r="A37" t="inlineStr">
        <is>
          <t>Periodo 34</t>
        </is>
      </c>
      <c r="B37" s="19">
        <f>B36*(1-$B$2)</f>
        <v/>
      </c>
      <c r="C37" s="19">
        <f>C36*(1-$C$2)</f>
        <v/>
      </c>
      <c r="D37" s="19">
        <f>D36*(1-$D$2)</f>
        <v/>
      </c>
      <c r="E37" s="19">
        <f>E36*(1-$E$2)</f>
        <v/>
      </c>
      <c r="F37" s="19">
        <f>F36*(1-$F$2)</f>
        <v/>
      </c>
    </row>
    <row r="38">
      <c r="A38" t="inlineStr">
        <is>
          <t>Periodo 35</t>
        </is>
      </c>
      <c r="B38" s="19">
        <f>B37*(1-$B$2)</f>
        <v/>
      </c>
      <c r="C38" s="19">
        <f>C37*(1-$C$2)</f>
        <v/>
      </c>
      <c r="D38" s="19">
        <f>D37*(1-$D$2)</f>
        <v/>
      </c>
      <c r="E38" s="19">
        <f>E37*(1-$E$2)</f>
        <v/>
      </c>
      <c r="F38" s="19">
        <f>F37*(1-$F$2)</f>
        <v/>
      </c>
    </row>
    <row r="39">
      <c r="A39" t="inlineStr">
        <is>
          <t>Periodo 36</t>
        </is>
      </c>
      <c r="B39" s="19">
        <f>B38*(1-$B$2)</f>
        <v/>
      </c>
      <c r="C39" s="19">
        <f>C38*(1-$C$2)</f>
        <v/>
      </c>
      <c r="D39" s="19">
        <f>D38*(1-$D$2)</f>
        <v/>
      </c>
      <c r="E39" s="19">
        <f>E38*(1-$E$2)</f>
        <v/>
      </c>
      <c r="F39" s="19">
        <f>F38*(1-$F$2)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Gibson</dc:creator>
  <dcterms:created xsi:type="dcterms:W3CDTF">2019-03-17T03:57:25Z</dcterms:created>
  <dcterms:modified xsi:type="dcterms:W3CDTF">2026-10-30T15:49:36Z</dcterms:modified>
  <cp:lastModifiedBy>Rosa Milena Muñoz Villanueva</cp:lastModifiedBy>
</cp:coreProperties>
</file>